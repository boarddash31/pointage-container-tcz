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f762a8136546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RES" sheetId="1" r:id="Rb7a09a86ace545f3"/>
    <x:sheet xmlns:r="http://schemas.openxmlformats.org/officeDocument/2006/relationships" name="MOUVEMENTS" sheetId="2" r:id="R7a5891cb62c1425f"/>
    <x:sheet xmlns:r="http://schemas.openxmlformats.org/officeDocument/2006/relationships" name="20 DV" sheetId="3" r:id="R2576972cca924fb3"/>
    <x:sheet xmlns:r="http://schemas.openxmlformats.org/officeDocument/2006/relationships" name="40 DV ST" sheetId="4" r:id="Re1b6ad5a33484b07"/>
    <x:sheet xmlns:r="http://schemas.openxmlformats.org/officeDocument/2006/relationships" name="40 DV HC" sheetId="5" r:id="Rd2eeacb2f65c4261"/>
    <x:sheet xmlns:r="http://schemas.openxmlformats.org/officeDocument/2006/relationships" name="45 DV" sheetId="6" r:id="Red33f71b88df4aa4"/>
    <x:sheet xmlns:r="http://schemas.openxmlformats.org/officeDocument/2006/relationships" name="FRIGO 20" sheetId="7" r:id="R900ddb4061cb479d"/>
    <x:sheet xmlns:r="http://schemas.openxmlformats.org/officeDocument/2006/relationships" name="FRIGO 40" sheetId="8" r:id="Rdec830e1a9ab4b34"/>
    <x:sheet xmlns:r="http://schemas.openxmlformats.org/officeDocument/2006/relationships" name="OT&amp;FL&amp;HP&amp;CT" sheetId="9" r:id="Rb6394b4010c04a4d"/>
    <x:sheet xmlns:r="http://schemas.openxmlformats.org/officeDocument/2006/relationships" name="RECAP" sheetId="10" r:id="R8bb7c9d5bdd245f2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3A70"/>
      </x:patternFill>
    </x:fill>
    <x:fill>
      <x:patternFill patternType="solid">
        <x:fgColor rgb="FFDCEBFF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1d22c568747ef" /><Relationship Type="http://schemas.openxmlformats.org/officeDocument/2006/relationships/theme" Target="/xl/theme/theme1.xml" Id="R038bf4b0cced4bf5" /><Relationship Type="http://schemas.openxmlformats.org/officeDocument/2006/relationships/sheetMetadata" Target="/xl/metadata1.xml" Id="R1281643427aa458f" /><Relationship Type="http://schemas.openxmlformats.org/officeDocument/2006/relationships/sharedStrings" Target="/xl/sharedStrings.xml" Id="R947ba2516d6349ae" /><Relationship Type="http://schemas.openxmlformats.org/officeDocument/2006/relationships/worksheet" Target="/xl/worksheets/sheet1.xml" Id="Rb7a09a86ace545f3" /><Relationship Type="http://schemas.openxmlformats.org/officeDocument/2006/relationships/worksheet" Target="/xl/worksheets/sheet2.xml" Id="R7a5891cb62c1425f" /><Relationship Type="http://schemas.openxmlformats.org/officeDocument/2006/relationships/worksheet" Target="/xl/worksheets/sheet3.xml" Id="R2576972cca924fb3" /><Relationship Type="http://schemas.openxmlformats.org/officeDocument/2006/relationships/worksheet" Target="/xl/worksheets/sheet4.xml" Id="Re1b6ad5a33484b07" /><Relationship Type="http://schemas.openxmlformats.org/officeDocument/2006/relationships/worksheet" Target="/xl/worksheets/sheet5.xml" Id="Rd2eeacb2f65c4261" /><Relationship Type="http://schemas.openxmlformats.org/officeDocument/2006/relationships/worksheet" Target="/xl/worksheets/sheet6.xml" Id="Red33f71b88df4aa4" /><Relationship Type="http://schemas.openxmlformats.org/officeDocument/2006/relationships/worksheet" Target="/xl/worksheets/sheet7.xml" Id="R900ddb4061cb479d" /><Relationship Type="http://schemas.openxmlformats.org/officeDocument/2006/relationships/worksheet" Target="/xl/worksheets/sheet8.xml" Id="Rdec830e1a9ab4b34" /><Relationship Type="http://schemas.openxmlformats.org/officeDocument/2006/relationships/worksheet" Target="/xl/worksheets/sheet9.xml" Id="Rb6394b4010c04a4d" /><Relationship Type="http://schemas.openxmlformats.org/officeDocument/2006/relationships/worksheet" Target="/xl/worksheets/sheet10.xml" Id="R8bb7c9d5bdd245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4" hidden="0" customWidth="1"/>
  </x:cols>
  <x:sheetData>
    <x:row r="1" ht="30" customHeight="1">
      <x:c r="A1" s="3" t="str">
        <x:v>RAPPORT FREEPOOL - PARAMÈTRES</x:v>
      </x:c>
      <x:c r="B1" s="3" t="str"/>
    </x:row>
    <x:row r="2">
      <x:c r="A2" t="str">
        <x:v>Client</x:v>
      </x:c>
      <x:c r="B2" t="str">
        <x:v>CLIENT X</x:v>
      </x:c>
    </x:row>
    <x:row r="3">
      <x:c r="A3" t="str">
        <x:v>Date de référence</x:v>
      </x:c>
      <x:c r="B3" t="str">
        <x:v>2026-10-19</x:v>
      </x:c>
    </x:row>
    <x:row r="4">
      <x:c r="A4" t="str">
        <x:v>Heure de clôture</x:v>
      </x:c>
      <x:c r="B4" t="str">
        <x:v>23:59:59</x:v>
      </x:c>
    </x:row>
    <x:row r="5">
      <x:c r="A5" t="str">
        <x:v>EVP 20 pieds</x:v>
      </x:c>
      <x:c r="B5" t="n">
        <x:v>1</x:v>
      </x:c>
    </x:row>
    <x:row r="6">
      <x:c r="A6" t="str">
        <x:v>EVP 40 pieds</x:v>
      </x:c>
      <x:c r="B6" t="n">
        <x:v>2</x:v>
      </x:c>
    </x:row>
    <x:row r="7">
      <x:c r="A7" t="str">
        <x:v>EVP 45 pieds</x:v>
      </x:c>
      <x:c r="B7" t="n">
        <x:v>2.25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5" hidden="0" customWidth="1"/>
    <x:col min="7" max="7" width="25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30" customHeight="1">
      <x:c r="A1" s="3" t="str">
        <x:v>CONTENEUR</x:v>
      </x:c>
      <x:c r="B1" s="3" t="str">
        <x:v>CLIENT</x:v>
      </x:c>
      <x:c r="C1" s="3" t="str">
        <x:v>ARMATEUR</x:v>
      </x:c>
      <x:c r="D1" s="3" t="str">
        <x:v>CODE ISO</x:v>
      </x:c>
      <x:c r="E1" s="3" t="str">
        <x:v>TYPE</x:v>
      </x:c>
      <x:c r="F1" s="3" t="str">
        <x:v>ARRIVEE TERMINAL</x:v>
      </x:c>
      <x:c r="G1" s="3" t="str">
        <x:v>SORTIE TERMINAL</x:v>
      </x:c>
      <x:c r="H1" s="3" t="str">
        <x:v>STATUT A DATE</x:v>
      </x:c>
      <x:c r="I1" s="3" t="str">
        <x:v>EVP</x:v>
      </x:c>
      <x:c r="J1" s="3" t="str">
        <x:v>HEURE ARRIVEE</x:v>
      </x:c>
      <x:c r="K1" s="3" t="str">
        <x:v>HEURE SORTIE</x:v>
      </x:c>
    </x:row>
    <x:row r="2">
      <x:c r="H2" t="str">
        <x:f>IF(OR(A2="",F2=""),"",IF(AND(B2=PARAMETRES!$B$2,LEFT(F2,10)&lt;=PARAMETRES!$B$3,OR(G2="",LEFT(G2,10)&gt;PARAMETRES!$B$3)),"PRESENT","ABSENT"))</x:f>
      </x:c>
      <x:c r="I2" t="str">
        <x:f>IF(A2="","",IF(LEFT(D2,2)="22",PARAMETRES!$B$5,IF(LEFT(D2,2)="42",PARAMETRES!$B$6,IF(LEFT(D2,2)="45",PARAMETRES!$B$7,0))))</x:f>
      </x:c>
    </x:row>
    <x:row r="3">
      <x:c r="H3" t="str">
        <x:f>IF(OR(A3="",F3=""),"",IF(AND(B3=PARAMETRES!$B$2,LEFT(F3,10)&lt;=PARAMETRES!$B$3,OR(G3="",LEFT(G3,10)&gt;PARAMETRES!$B$3)),"PRESENT","ABSENT"))</x:f>
      </x:c>
      <x:c r="I3" t="str">
        <x:f>IF(A3="","",IF(LEFT(D3,2)="22",PARAMETRES!$B$5,IF(LEFT(D3,2)="42",PARAMETRES!$B$6,IF(LEFT(D3,2)="45",PARAMETRES!$B$7,0))))</x:f>
      </x:c>
    </x:row>
    <x:row r="4">
      <x:c r="H4" t="str">
        <x:f>IF(OR(A4="",F4=""),"",IF(AND(B4=PARAMETRES!$B$2,LEFT(F4,10)&lt;=PARAMETRES!$B$3,OR(G4="",LEFT(G4,10)&gt;PARAMETRES!$B$3)),"PRESENT","ABSENT"))</x:f>
      </x:c>
      <x:c r="I4" t="str">
        <x:f>IF(A4="","",IF(LEFT(D4,2)="22",PARAMETRES!$B$5,IF(LEFT(D4,2)="42",PARAMETRES!$B$6,IF(LEFT(D4,2)="45",PARAMETRES!$B$7,0))))</x:f>
      </x:c>
    </x:row>
    <x:row r="5">
      <x:c r="H5" t="str">
        <x:f>IF(OR(A5="",F5=""),"",IF(AND(B5=PARAMETRES!$B$2,LEFT(F5,10)&lt;=PARAMETRES!$B$3,OR(G5="",LEFT(G5,10)&gt;PARAMETRES!$B$3)),"PRESENT","ABSENT"))</x:f>
      </x:c>
      <x:c r="I5" t="str">
        <x:f>IF(A5="","",IF(LEFT(D5,2)="22",PARAMETRES!$B$5,IF(LEFT(D5,2)="42",PARAMETRES!$B$6,IF(LEFT(D5,2)="45",PARAMETRES!$B$7,0))))</x:f>
      </x:c>
    </x:row>
    <x:row r="6">
      <x:c r="H6" t="str">
        <x:f>IF(OR(A6="",F6=""),"",IF(AND(B6=PARAMETRES!$B$2,LEFT(F6,10)&lt;=PARAMETRES!$B$3,OR(G6="",LEFT(G6,10)&gt;PARAMETRES!$B$3)),"PRESENT","ABSENT"))</x:f>
      </x:c>
      <x:c r="I6" t="str">
        <x:f>IF(A6="","",IF(LEFT(D6,2)="22",PARAMETRES!$B$5,IF(LEFT(D6,2)="42",PARAMETRES!$B$6,IF(LEFT(D6,2)="45",PARAMETRES!$B$7,0))))</x:f>
      </x:c>
    </x:row>
    <x:row r="7">
      <x:c r="H7" t="str">
        <x:f>IF(OR(A7="",F7=""),"",IF(AND(B7=PARAMETRES!$B$2,LEFT(F7,10)&lt;=PARAMETRES!$B$3,OR(G7="",LEFT(G7,10)&gt;PARAMETRES!$B$3)),"PRESENT","ABSENT"))</x:f>
      </x:c>
      <x:c r="I7" t="str">
        <x:f>IF(A7="","",IF(LEFT(D7,2)="22",PARAMETRES!$B$5,IF(LEFT(D7,2)="42",PARAMETRES!$B$6,IF(LEFT(D7,2)="45",PARAMETRES!$B$7,0))))</x:f>
      </x:c>
    </x:row>
    <x:row r="8">
      <x:c r="H8" t="str">
        <x:f>IF(OR(A8="",F8=""),"",IF(AND(B8=PARAMETRES!$B$2,LEFT(F8,10)&lt;=PARAMETRES!$B$3,OR(G8="",LEFT(G8,10)&gt;PARAMETRES!$B$3)),"PRESENT","ABSENT"))</x:f>
      </x:c>
      <x:c r="I8" t="str">
        <x:f>IF(A8="","",IF(LEFT(D8,2)="22",PARAMETRES!$B$5,IF(LEFT(D8,2)="42",PARAMETRES!$B$6,IF(LEFT(D8,2)="45",PARAMETRES!$B$7,0))))</x:f>
      </x:c>
    </x:row>
    <x:row r="9">
      <x:c r="H9" t="str">
        <x:f>IF(OR(A9="",F9=""),"",IF(AND(B9=PARAMETRES!$B$2,LEFT(F9,10)&lt;=PARAMETRES!$B$3,OR(G9="",LEFT(G9,10)&gt;PARAMETRES!$B$3)),"PRESENT","ABSENT"))</x:f>
      </x:c>
      <x:c r="I9" t="str">
        <x:f>IF(A9="","",IF(LEFT(D9,2)="22",PARAMETRES!$B$5,IF(LEFT(D9,2)="42",PARAMETRES!$B$6,IF(LEFT(D9,2)="45",PARAMETRES!$B$7,0))))</x:f>
      </x:c>
    </x:row>
    <x:row r="10">
      <x:c r="H10" t="str">
        <x:f>IF(OR(A10="",F10=""),"",IF(AND(B10=PARAMETRES!$B$2,LEFT(F10,10)&lt;=PARAMETRES!$B$3,OR(G10="",LEFT(G10,10)&gt;PARAMETRES!$B$3)),"PRESENT","ABSENT"))</x:f>
      </x:c>
      <x:c r="I10" t="str">
        <x:f>IF(A10="","",IF(LEFT(D10,2)="22",PARAMETRES!$B$5,IF(LEFT(D10,2)="42",PARAMETRES!$B$6,IF(LEFT(D10,2)="45",PARAMETRES!$B$7,0))))</x:f>
      </x:c>
    </x:row>
    <x:row r="11">
      <x:c r="H11" t="str">
        <x:f>IF(OR(A11="",F11=""),"",IF(AND(B11=PARAMETRES!$B$2,LEFT(F11,10)&lt;=PARAMETRES!$B$3,OR(G11="",LEFT(G11,10)&gt;PARAMETRES!$B$3)),"PRESENT","ABSENT"))</x:f>
      </x:c>
      <x:c r="I11" t="str">
        <x:f>IF(A11="","",IF(LEFT(D11,2)="22",PARAMETRES!$B$5,IF(LEFT(D11,2)="42",PARAMETRES!$B$6,IF(LEFT(D11,2)="45",PARAMETRES!$B$7,0))))</x:f>
      </x:c>
    </x:row>
    <x:row r="12">
      <x:c r="H12" t="str">
        <x:f>IF(OR(A12="",F12=""),"",IF(AND(B12=PARAMETRES!$B$2,LEFT(F12,10)&lt;=PARAMETRES!$B$3,OR(G12="",LEFT(G12,10)&gt;PARAMETRES!$B$3)),"PRESENT","ABSENT"))</x:f>
      </x:c>
      <x:c r="I12" t="str">
        <x:f>IF(A12="","",IF(LEFT(D12,2)="22",PARAMETRES!$B$5,IF(LEFT(D12,2)="42",PARAMETRES!$B$6,IF(LEFT(D12,2)="45",PARAMETRES!$B$7,0))))</x:f>
      </x:c>
    </x:row>
    <x:row r="13">
      <x:c r="H13" t="str">
        <x:f>IF(OR(A13="",F13=""),"",IF(AND(B13=PARAMETRES!$B$2,LEFT(F13,10)&lt;=PARAMETRES!$B$3,OR(G13="",LEFT(G13,10)&gt;PARAMETRES!$B$3)),"PRESENT","ABSENT"))</x:f>
      </x:c>
      <x:c r="I13" t="str">
        <x:f>IF(A13="","",IF(LEFT(D13,2)="22",PARAMETRES!$B$5,IF(LEFT(D13,2)="42",PARAMETRES!$B$6,IF(LEFT(D13,2)="45",PARAMETRES!$B$7,0))))</x:f>
      </x:c>
    </x:row>
    <x:row r="14">
      <x:c r="H14" t="str">
        <x:f>IF(OR(A14="",F14=""),"",IF(AND(B14=PARAMETRES!$B$2,LEFT(F14,10)&lt;=PARAMETRES!$B$3,OR(G14="",LEFT(G14,10)&gt;PARAMETRES!$B$3)),"PRESENT","ABSENT"))</x:f>
      </x:c>
      <x:c r="I14" t="str">
        <x:f>IF(A14="","",IF(LEFT(D14,2)="22",PARAMETRES!$B$5,IF(LEFT(D14,2)="42",PARAMETRES!$B$6,IF(LEFT(D14,2)="45",PARAMETRES!$B$7,0))))</x:f>
      </x:c>
    </x:row>
    <x:row r="15">
      <x:c r="H15" t="str">
        <x:f>IF(OR(A15="",F15=""),"",IF(AND(B15=PARAMETRES!$B$2,LEFT(F15,10)&lt;=PARAMETRES!$B$3,OR(G15="",LEFT(G15,10)&gt;PARAMETRES!$B$3)),"PRESENT","ABSENT"))</x:f>
      </x:c>
      <x:c r="I15" t="str">
        <x:f>IF(A15="","",IF(LEFT(D15,2)="22",PARAMETRES!$B$5,IF(LEFT(D15,2)="42",PARAMETRES!$B$6,IF(LEFT(D15,2)="45",PARAMETRES!$B$7,0))))</x:f>
      </x:c>
    </x:row>
    <x:row r="16">
      <x:c r="H16" t="str">
        <x:f>IF(OR(A16="",F16=""),"",IF(AND(B16=PARAMETRES!$B$2,LEFT(F16,10)&lt;=PARAMETRES!$B$3,OR(G16="",LEFT(G16,10)&gt;PARAMETRES!$B$3)),"PRESENT","ABSENT"))</x:f>
      </x:c>
      <x:c r="I16" t="str">
        <x:f>IF(A16="","",IF(LEFT(D16,2)="22",PARAMETRES!$B$5,IF(LEFT(D16,2)="42",PARAMETRES!$B$6,IF(LEFT(D16,2)="45",PARAMETRES!$B$7,0))))</x:f>
      </x:c>
    </x:row>
    <x:row r="17">
      <x:c r="H17" t="str">
        <x:f>IF(OR(A17="",F17=""),"",IF(AND(B17=PARAMETRES!$B$2,LEFT(F17,10)&lt;=PARAMETRES!$B$3,OR(G17="",LEFT(G17,10)&gt;PARAMETRES!$B$3)),"PRESENT","ABSENT"))</x:f>
      </x:c>
      <x:c r="I17" t="str">
        <x:f>IF(A17="","",IF(LEFT(D17,2)="22",PARAMETRES!$B$5,IF(LEFT(D17,2)="42",PARAMETRES!$B$6,IF(LEFT(D17,2)="45",PARAMETRES!$B$7,0))))</x:f>
      </x:c>
    </x:row>
    <x:row r="18">
      <x:c r="H18" t="str">
        <x:f>IF(OR(A18="",F18=""),"",IF(AND(B18=PARAMETRES!$B$2,LEFT(F18,10)&lt;=PARAMETRES!$B$3,OR(G18="",LEFT(G18,10)&gt;PARAMETRES!$B$3)),"PRESENT","ABSENT"))</x:f>
      </x:c>
      <x:c r="I18" t="str">
        <x:f>IF(A18="","",IF(LEFT(D18,2)="22",PARAMETRES!$B$5,IF(LEFT(D18,2)="42",PARAMETRES!$B$6,IF(LEFT(D18,2)="45",PARAMETRES!$B$7,0))))</x:f>
      </x:c>
    </x:row>
    <x:row r="19">
      <x:c r="H19" t="str">
        <x:f>IF(OR(A19="",F19=""),"",IF(AND(B19=PARAMETRES!$B$2,LEFT(F19,10)&lt;=PARAMETRES!$B$3,OR(G19="",LEFT(G19,10)&gt;PARAMETRES!$B$3)),"PRESENT","ABSENT"))</x:f>
      </x:c>
      <x:c r="I19" t="str">
        <x:f>IF(A19="","",IF(LEFT(D19,2)="22",PARAMETRES!$B$5,IF(LEFT(D19,2)="42",PARAMETRES!$B$6,IF(LEFT(D19,2)="45",PARAMETRES!$B$7,0))))</x:f>
      </x:c>
    </x:row>
    <x:row r="20">
      <x:c r="H20" t="str">
        <x:f>IF(OR(A20="",F20=""),"",IF(AND(B20=PARAMETRES!$B$2,LEFT(F20,10)&lt;=PARAMETRES!$B$3,OR(G20="",LEFT(G20,10)&gt;PARAMETRES!$B$3)),"PRESENT","ABSENT"))</x:f>
      </x:c>
      <x:c r="I20" t="str">
        <x:f>IF(A20="","",IF(LEFT(D20,2)="22",PARAMETRES!$B$5,IF(LEFT(D20,2)="42",PARAMETRES!$B$6,IF(LEFT(D20,2)="45",PARAMETRES!$B$7,0))))</x:f>
      </x:c>
    </x:row>
    <x:row r="21">
      <x:c r="H21" t="str">
        <x:f>IF(OR(A21="",F21=""),"",IF(AND(B21=PARAMETRES!$B$2,LEFT(F21,10)&lt;=PARAMETRES!$B$3,OR(G21="",LEFT(G21,10)&gt;PARAMETRES!$B$3)),"PRESENT","ABSENT"))</x:f>
      </x:c>
      <x:c r="I21" t="str">
        <x:f>IF(A21="","",IF(LEFT(D21,2)="22",PARAMETRES!$B$5,IF(LEFT(D21,2)="42",PARAMETRES!$B$6,IF(LEFT(D21,2)="45",PARAMETRES!$B$7,0))))</x:f>
      </x:c>
    </x:row>
    <x:row r="22">
      <x:c r="H22" t="str">
        <x:f>IF(OR(A22="",F22=""),"",IF(AND(B22=PARAMETRES!$B$2,LEFT(F22,10)&lt;=PARAMETRES!$B$3,OR(G22="",LEFT(G22,10)&gt;PARAMETRES!$B$3)),"PRESENT","ABSENT"))</x:f>
      </x:c>
      <x:c r="I22" t="str">
        <x:f>IF(A22="","",IF(LEFT(D22,2)="22",PARAMETRES!$B$5,IF(LEFT(D22,2)="42",PARAMETRES!$B$6,IF(LEFT(D22,2)="45",PARAMETRES!$B$7,0))))</x:f>
      </x:c>
    </x:row>
    <x:row r="23">
      <x:c r="H23" t="str">
        <x:f>IF(OR(A23="",F23=""),"",IF(AND(B23=PARAMETRES!$B$2,LEFT(F23,10)&lt;=PARAMETRES!$B$3,OR(G23="",LEFT(G23,10)&gt;PARAMETRES!$B$3)),"PRESENT","ABSENT"))</x:f>
      </x:c>
      <x:c r="I23" t="str">
        <x:f>IF(A23="","",IF(LEFT(D23,2)="22",PARAMETRES!$B$5,IF(LEFT(D23,2)="42",PARAMETRES!$B$6,IF(LEFT(D23,2)="45",PARAMETRES!$B$7,0))))</x:f>
      </x:c>
    </x:row>
    <x:row r="24">
      <x:c r="H24" t="str">
        <x:f>IF(OR(A24="",F24=""),"",IF(AND(B24=PARAMETRES!$B$2,LEFT(F24,10)&lt;=PARAMETRES!$B$3,OR(G24="",LEFT(G24,10)&gt;PARAMETRES!$B$3)),"PRESENT","ABSENT"))</x:f>
      </x:c>
      <x:c r="I24" t="str">
        <x:f>IF(A24="","",IF(LEFT(D24,2)="22",PARAMETRES!$B$5,IF(LEFT(D24,2)="42",PARAMETRES!$B$6,IF(LEFT(D24,2)="45",PARAMETRES!$B$7,0))))</x:f>
      </x:c>
    </x:row>
    <x:row r="25">
      <x:c r="H25" t="str">
        <x:f>IF(OR(A25="",F25=""),"",IF(AND(B25=PARAMETRES!$B$2,LEFT(F25,10)&lt;=PARAMETRES!$B$3,OR(G25="",LEFT(G25,10)&gt;PARAMETRES!$B$3)),"PRESENT","ABSENT"))</x:f>
      </x:c>
      <x:c r="I25" t="str">
        <x:f>IF(A25="","",IF(LEFT(D25,2)="22",PARAMETRES!$B$5,IF(LEFT(D25,2)="42",PARAMETRES!$B$6,IF(LEFT(D25,2)="45",PARAMETRES!$B$7,0))))</x:f>
      </x:c>
    </x:row>
    <x:row r="26">
      <x:c r="H26" t="str">
        <x:f>IF(OR(A26="",F26=""),"",IF(AND(B26=PARAMETRES!$B$2,LEFT(F26,10)&lt;=PARAMETRES!$B$3,OR(G26="",LEFT(G26,10)&gt;PARAMETRES!$B$3)),"PRESENT","ABSENT"))</x:f>
      </x:c>
      <x:c r="I26" t="str">
        <x:f>IF(A26="","",IF(LEFT(D26,2)="22",PARAMETRES!$B$5,IF(LEFT(D26,2)="42",PARAMETRES!$B$6,IF(LEFT(D26,2)="45",PARAMETRES!$B$7,0))))</x:f>
      </x:c>
    </x:row>
    <x:row r="27">
      <x:c r="H27" t="str">
        <x:f>IF(OR(A27="",F27=""),"",IF(AND(B27=PARAMETRES!$B$2,LEFT(F27,10)&lt;=PARAMETRES!$B$3,OR(G27="",LEFT(G27,10)&gt;PARAMETRES!$B$3)),"PRESENT","ABSENT"))</x:f>
      </x:c>
      <x:c r="I27" t="str">
        <x:f>IF(A27="","",IF(LEFT(D27,2)="22",PARAMETRES!$B$5,IF(LEFT(D27,2)="42",PARAMETRES!$B$6,IF(LEFT(D27,2)="45",PARAMETRES!$B$7,0))))</x:f>
      </x:c>
    </x:row>
    <x:row r="28">
      <x:c r="H28" t="str">
        <x:f>IF(OR(A28="",F28=""),"",IF(AND(B28=PARAMETRES!$B$2,LEFT(F28,10)&lt;=PARAMETRES!$B$3,OR(G28="",LEFT(G28,10)&gt;PARAMETRES!$B$3)),"PRESENT","ABSENT"))</x:f>
      </x:c>
      <x:c r="I28" t="str">
        <x:f>IF(A28="","",IF(LEFT(D28,2)="22",PARAMETRES!$B$5,IF(LEFT(D28,2)="42",PARAMETRES!$B$6,IF(LEFT(D28,2)="45",PARAMETRES!$B$7,0))))</x:f>
      </x:c>
    </x:row>
    <x:row r="29">
      <x:c r="H29" t="str">
        <x:f>IF(OR(A29="",F29=""),"",IF(AND(B29=PARAMETRES!$B$2,LEFT(F29,10)&lt;=PARAMETRES!$B$3,OR(G29="",LEFT(G29,10)&gt;PARAMETRES!$B$3)),"PRESENT","ABSENT"))</x:f>
      </x:c>
      <x:c r="I29" t="str">
        <x:f>IF(A29="","",IF(LEFT(D29,2)="22",PARAMETRES!$B$5,IF(LEFT(D29,2)="42",PARAMETRES!$B$6,IF(LEFT(D29,2)="45",PARAMETRES!$B$7,0))))</x:f>
      </x:c>
    </x:row>
    <x:row r="30">
      <x:c r="H30" t="str">
        <x:f>IF(OR(A30="",F30=""),"",IF(AND(B30=PARAMETRES!$B$2,LEFT(F30,10)&lt;=PARAMETRES!$B$3,OR(G30="",LEFT(G30,10)&gt;PARAMETRES!$B$3)),"PRESENT","ABSENT"))</x:f>
      </x:c>
      <x:c r="I30" t="str">
        <x:f>IF(A30="","",IF(LEFT(D30,2)="22",PARAMETRES!$B$5,IF(LEFT(D30,2)="42",PARAMETRES!$B$6,IF(LEFT(D30,2)="45",PARAMETRES!$B$7,0))))</x:f>
      </x:c>
    </x:row>
    <x:row r="31">
      <x:c r="H31" t="str">
        <x:f>IF(OR(A31="",F31=""),"",IF(AND(B31=PARAMETRES!$B$2,LEFT(F31,10)&lt;=PARAMETRES!$B$3,OR(G31="",LEFT(G31,10)&gt;PARAMETRES!$B$3)),"PRESENT","ABSENT"))</x:f>
      </x:c>
      <x:c r="I31" t="str">
        <x:f>IF(A31="","",IF(LEFT(D31,2)="22",PARAMETRES!$B$5,IF(LEFT(D31,2)="42",PARAMETRES!$B$6,IF(LEFT(D31,2)="45",PARAMETRES!$B$7,0))))</x:f>
      </x:c>
    </x:row>
    <x:row r="32">
      <x:c r="H32" t="str">
        <x:f>IF(OR(A32="",F32=""),"",IF(AND(B32=PARAMETRES!$B$2,LEFT(F32,10)&lt;=PARAMETRES!$B$3,OR(G32="",LEFT(G32,10)&gt;PARAMETRES!$B$3)),"PRESENT","ABSENT"))</x:f>
      </x:c>
      <x:c r="I32" t="str">
        <x:f>IF(A32="","",IF(LEFT(D32,2)="22",PARAMETRES!$B$5,IF(LEFT(D32,2)="42",PARAMETRES!$B$6,IF(LEFT(D32,2)="45",PARAMETRES!$B$7,0))))</x:f>
      </x:c>
    </x:row>
    <x:row r="33">
      <x:c r="H33" t="str">
        <x:f>IF(OR(A33="",F33=""),"",IF(AND(B33=PARAMETRES!$B$2,LEFT(F33,10)&lt;=PARAMETRES!$B$3,OR(G33="",LEFT(G33,10)&gt;PARAMETRES!$B$3)),"PRESENT","ABSENT"))</x:f>
      </x:c>
      <x:c r="I33" t="str">
        <x:f>IF(A33="","",IF(LEFT(D33,2)="22",PARAMETRES!$B$5,IF(LEFT(D33,2)="42",PARAMETRES!$B$6,IF(LEFT(D33,2)="45",PARAMETRES!$B$7,0))))</x:f>
      </x:c>
    </x:row>
    <x:row r="34">
      <x:c r="H34" t="str">
        <x:f>IF(OR(A34="",F34=""),"",IF(AND(B34=PARAMETRES!$B$2,LEFT(F34,10)&lt;=PARAMETRES!$B$3,OR(G34="",LEFT(G34,10)&gt;PARAMETRES!$B$3)),"PRESENT","ABSENT"))</x:f>
      </x:c>
      <x:c r="I34" t="str">
        <x:f>IF(A34="","",IF(LEFT(D34,2)="22",PARAMETRES!$B$5,IF(LEFT(D34,2)="42",PARAMETRES!$B$6,IF(LEFT(D34,2)="45",PARAMETRES!$B$7,0))))</x:f>
      </x:c>
    </x:row>
    <x:row r="35">
      <x:c r="H35" t="str">
        <x:f>IF(OR(A35="",F35=""),"",IF(AND(B35=PARAMETRES!$B$2,LEFT(F35,10)&lt;=PARAMETRES!$B$3,OR(G35="",LEFT(G35,10)&gt;PARAMETRES!$B$3)),"PRESENT","ABSENT"))</x:f>
      </x:c>
      <x:c r="I35" t="str">
        <x:f>IF(A35="","",IF(LEFT(D35,2)="22",PARAMETRES!$B$5,IF(LEFT(D35,2)="42",PARAMETRES!$B$6,IF(LEFT(D35,2)="45",PARAMETRES!$B$7,0))))</x:f>
      </x:c>
    </x:row>
    <x:row r="36">
      <x:c r="H36" t="str">
        <x:f>IF(OR(A36="",F36=""),"",IF(AND(B36=PARAMETRES!$B$2,LEFT(F36,10)&lt;=PARAMETRES!$B$3,OR(G36="",LEFT(G36,10)&gt;PARAMETRES!$B$3)),"PRESENT","ABSENT"))</x:f>
      </x:c>
      <x:c r="I36" t="str">
        <x:f>IF(A36="","",IF(LEFT(D36,2)="22",PARAMETRES!$B$5,IF(LEFT(D36,2)="42",PARAMETRES!$B$6,IF(LEFT(D36,2)="45",PARAMETRES!$B$7,0))))</x:f>
      </x:c>
    </x:row>
    <x:row r="37">
      <x:c r="H37" t="str">
        <x:f>IF(OR(A37="",F37=""),"",IF(AND(B37=PARAMETRES!$B$2,LEFT(F37,10)&lt;=PARAMETRES!$B$3,OR(G37="",LEFT(G37,10)&gt;PARAMETRES!$B$3)),"PRESENT","ABSENT"))</x:f>
      </x:c>
      <x:c r="I37" t="str">
        <x:f>IF(A37="","",IF(LEFT(D37,2)="22",PARAMETRES!$B$5,IF(LEFT(D37,2)="42",PARAMETRES!$B$6,IF(LEFT(D37,2)="45",PARAMETRES!$B$7,0))))</x:f>
      </x:c>
    </x:row>
    <x:row r="38">
      <x:c r="H38" t="str">
        <x:f>IF(OR(A38="",F38=""),"",IF(AND(B38=PARAMETRES!$B$2,LEFT(F38,10)&lt;=PARAMETRES!$B$3,OR(G38="",LEFT(G38,10)&gt;PARAMETRES!$B$3)),"PRESENT","ABSENT"))</x:f>
      </x:c>
      <x:c r="I38" t="str">
        <x:f>IF(A38="","",IF(LEFT(D38,2)="22",PARAMETRES!$B$5,IF(LEFT(D38,2)="42",PARAMETRES!$B$6,IF(LEFT(D38,2)="45",PARAMETRES!$B$7,0))))</x:f>
      </x:c>
    </x:row>
    <x:row r="39">
      <x:c r="H39" t="str">
        <x:f>IF(OR(A39="",F39=""),"",IF(AND(B39=PARAMETRES!$B$2,LEFT(F39,10)&lt;=PARAMETRES!$B$3,OR(G39="",LEFT(G39,10)&gt;PARAMETRES!$B$3)),"PRESENT","ABSENT"))</x:f>
      </x:c>
      <x:c r="I39" t="str">
        <x:f>IF(A39="","",IF(LEFT(D39,2)="22",PARAMETRES!$B$5,IF(LEFT(D39,2)="42",PARAMETRES!$B$6,IF(LEFT(D39,2)="45",PARAMETRES!$B$7,0))))</x:f>
      </x:c>
    </x:row>
    <x:row r="40">
      <x:c r="H40" t="str">
        <x:f>IF(OR(A40="",F40=""),"",IF(AND(B40=PARAMETRES!$B$2,LEFT(F40,10)&lt;=PARAMETRES!$B$3,OR(G40="",LEFT(G40,10)&gt;PARAMETRES!$B$3)),"PRESENT","ABSENT"))</x:f>
      </x:c>
      <x:c r="I40" t="str">
        <x:f>IF(A40="","",IF(LEFT(D40,2)="22",PARAMETRES!$B$5,IF(LEFT(D40,2)="42",PARAMETRES!$B$6,IF(LEFT(D40,2)="45",PARAMETRES!$B$7,0))))</x:f>
      </x:c>
    </x:row>
    <x:row r="41">
      <x:c r="H41" t="str">
        <x:f>IF(OR(A41="",F41=""),"",IF(AND(B41=PARAMETRES!$B$2,LEFT(F41,10)&lt;=PARAMETRES!$B$3,OR(G41="",LEFT(G41,10)&gt;PARAMETRES!$B$3)),"PRESENT","ABSENT"))</x:f>
      </x:c>
      <x:c r="I41" t="str">
        <x:f>IF(A41="","",IF(LEFT(D41,2)="22",PARAMETRES!$B$5,IF(LEFT(D41,2)="42",PARAMETRES!$B$6,IF(LEFT(D41,2)="45",PARAMETRES!$B$7,0))))</x:f>
      </x:c>
    </x:row>
    <x:row r="42">
      <x:c r="H42" t="str">
        <x:f>IF(OR(A42="",F42=""),"",IF(AND(B42=PARAMETRES!$B$2,LEFT(F42,10)&lt;=PARAMETRES!$B$3,OR(G42="",LEFT(G42,10)&gt;PARAMETRES!$B$3)),"PRESENT","ABSENT"))</x:f>
      </x:c>
      <x:c r="I42" t="str">
        <x:f>IF(A42="","",IF(LEFT(D42,2)="22",PARAMETRES!$B$5,IF(LEFT(D42,2)="42",PARAMETRES!$B$6,IF(LEFT(D42,2)="45",PARAMETRES!$B$7,0))))</x:f>
      </x:c>
    </x:row>
    <x:row r="43">
      <x:c r="H43" t="str">
        <x:f>IF(OR(A43="",F43=""),"",IF(AND(B43=PARAMETRES!$B$2,LEFT(F43,10)&lt;=PARAMETRES!$B$3,OR(G43="",LEFT(G43,10)&gt;PARAMETRES!$B$3)),"PRESENT","ABSENT"))</x:f>
      </x:c>
      <x:c r="I43" t="str">
        <x:f>IF(A43="","",IF(LEFT(D43,2)="22",PARAMETRES!$B$5,IF(LEFT(D43,2)="42",PARAMETRES!$B$6,IF(LEFT(D43,2)="45",PARAMETRES!$B$7,0))))</x:f>
      </x:c>
    </x:row>
    <x:row r="44">
      <x:c r="H44" t="str">
        <x:f>IF(OR(A44="",F44=""),"",IF(AND(B44=PARAMETRES!$B$2,LEFT(F44,10)&lt;=PARAMETRES!$B$3,OR(G44="",LEFT(G44,10)&gt;PARAMETRES!$B$3)),"PRESENT","ABSENT"))</x:f>
      </x:c>
      <x:c r="I44" t="str">
        <x:f>IF(A44="","",IF(LEFT(D44,2)="22",PARAMETRES!$B$5,IF(LEFT(D44,2)="42",PARAMETRES!$B$6,IF(LEFT(D44,2)="45",PARAMETRES!$B$7,0))))</x:f>
      </x:c>
    </x:row>
    <x:row r="45">
      <x:c r="H45" t="str">
        <x:f>IF(OR(A45="",F45=""),"",IF(AND(B45=PARAMETRES!$B$2,LEFT(F45,10)&lt;=PARAMETRES!$B$3,OR(G45="",LEFT(G45,10)&gt;PARAMETRES!$B$3)),"PRESENT","ABSENT"))</x:f>
      </x:c>
      <x:c r="I45" t="str">
        <x:f>IF(A45="","",IF(LEFT(D45,2)="22",PARAMETRES!$B$5,IF(LEFT(D45,2)="42",PARAMETRES!$B$6,IF(LEFT(D45,2)="45",PARAMETRES!$B$7,0))))</x:f>
      </x:c>
    </x:row>
    <x:row r="46">
      <x:c r="H46" t="str">
        <x:f>IF(OR(A46="",F46=""),"",IF(AND(B46=PARAMETRES!$B$2,LEFT(F46,10)&lt;=PARAMETRES!$B$3,OR(G46="",LEFT(G46,10)&gt;PARAMETRES!$B$3)),"PRESENT","ABSENT"))</x:f>
      </x:c>
      <x:c r="I46" t="str">
        <x:f>IF(A46="","",IF(LEFT(D46,2)="22",PARAMETRES!$B$5,IF(LEFT(D46,2)="42",PARAMETRES!$B$6,IF(LEFT(D46,2)="45",PARAMETRES!$B$7,0))))</x:f>
      </x:c>
    </x:row>
    <x:row r="47">
      <x:c r="H47" t="str">
        <x:f>IF(OR(A47="",F47=""),"",IF(AND(B47=PARAMETRES!$B$2,LEFT(F47,10)&lt;=PARAMETRES!$B$3,OR(G47="",LEFT(G47,10)&gt;PARAMETRES!$B$3)),"PRESENT","ABSENT"))</x:f>
      </x:c>
      <x:c r="I47" t="str">
        <x:f>IF(A47="","",IF(LEFT(D47,2)="22",PARAMETRES!$B$5,IF(LEFT(D47,2)="42",PARAMETRES!$B$6,IF(LEFT(D47,2)="45",PARAMETRES!$B$7,0))))</x:f>
      </x:c>
    </x:row>
    <x:row r="48">
      <x:c r="H48" t="str">
        <x:f>IF(OR(A48="",F48=""),"",IF(AND(B48=PARAMETRES!$B$2,LEFT(F48,10)&lt;=PARAMETRES!$B$3,OR(G48="",LEFT(G48,10)&gt;PARAMETRES!$B$3)),"PRESENT","ABSENT"))</x:f>
      </x:c>
      <x:c r="I48" t="str">
        <x:f>IF(A48="","",IF(LEFT(D48,2)="22",PARAMETRES!$B$5,IF(LEFT(D48,2)="42",PARAMETRES!$B$6,IF(LEFT(D48,2)="45",PARAMETRES!$B$7,0))))</x:f>
      </x:c>
    </x:row>
    <x:row r="49">
      <x:c r="H49" t="str">
        <x:f>IF(OR(A49="",F49=""),"",IF(AND(B49=PARAMETRES!$B$2,LEFT(F49,10)&lt;=PARAMETRES!$B$3,OR(G49="",LEFT(G49,10)&gt;PARAMETRES!$B$3)),"PRESENT","ABSENT"))</x:f>
      </x:c>
      <x:c r="I49" t="str">
        <x:f>IF(A49="","",IF(LEFT(D49,2)="22",PARAMETRES!$B$5,IF(LEFT(D49,2)="42",PARAMETRES!$B$6,IF(LEFT(D49,2)="45",PARAMETRES!$B$7,0))))</x:f>
      </x:c>
    </x:row>
    <x:row r="50">
      <x:c r="H50" t="str">
        <x:f>IF(OR(A50="",F50=""),"",IF(AND(B50=PARAMETRES!$B$2,LEFT(F50,10)&lt;=PARAMETRES!$B$3,OR(G50="",LEFT(G50,10)&gt;PARAMETRES!$B$3)),"PRESENT","ABSENT"))</x:f>
      </x:c>
      <x:c r="I50" t="str">
        <x:f>IF(A50="","",IF(LEFT(D50,2)="22",PARAMETRES!$B$5,IF(LEFT(D50,2)="42",PARAMETRES!$B$6,IF(LEFT(D50,2)="45",PARAMETRES!$B$7,0))))</x:f>
      </x:c>
    </x:row>
    <x:row r="51">
      <x:c r="H51" t="str">
        <x:f>IF(OR(A51="",F51=""),"",IF(AND(B51=PARAMETRES!$B$2,LEFT(F51,10)&lt;=PARAMETRES!$B$3,OR(G51="",LEFT(G51,10)&gt;PARAMETRES!$B$3)),"PRESENT","ABSENT"))</x:f>
      </x:c>
      <x:c r="I51" t="str">
        <x:f>IF(A51="","",IF(LEFT(D51,2)="22",PARAMETRES!$B$5,IF(LEFT(D51,2)="42",PARAMETRES!$B$6,IF(LEFT(D51,2)="45",PARAMETRES!$B$7,0))))</x:f>
      </x:c>
    </x:row>
    <x:row r="52">
      <x:c r="H52" t="str">
        <x:f>IF(OR(A52="",F52=""),"",IF(AND(B52=PARAMETRES!$B$2,LEFT(F52,10)&lt;=PARAMETRES!$B$3,OR(G52="",LEFT(G52,10)&gt;PARAMETRES!$B$3)),"PRESENT","ABSENT"))</x:f>
      </x:c>
      <x:c r="I52" t="str">
        <x:f>IF(A52="","",IF(LEFT(D52,2)="22",PARAMETRES!$B$5,IF(LEFT(D52,2)="42",PARAMETRES!$B$6,IF(LEFT(D52,2)="45",PARAMETRES!$B$7,0))))</x:f>
      </x:c>
    </x:row>
    <x:row r="53">
      <x:c r="H53" t="str">
        <x:f>IF(OR(A53="",F53=""),"",IF(AND(B53=PARAMETRES!$B$2,LEFT(F53,10)&lt;=PARAMETRES!$B$3,OR(G53="",LEFT(G53,10)&gt;PARAMETRES!$B$3)),"PRESENT","ABSENT"))</x:f>
      </x:c>
      <x:c r="I53" t="str">
        <x:f>IF(A53="","",IF(LEFT(D53,2)="22",PARAMETRES!$B$5,IF(LEFT(D53,2)="42",PARAMETRES!$B$6,IF(LEFT(D53,2)="45",PARAMETRES!$B$7,0))))</x:f>
      </x:c>
    </x:row>
    <x:row r="54">
      <x:c r="H54" t="str">
        <x:f>IF(OR(A54="",F54=""),"",IF(AND(B54=PARAMETRES!$B$2,LEFT(F54,10)&lt;=PARAMETRES!$B$3,OR(G54="",LEFT(G54,10)&gt;PARAMETRES!$B$3)),"PRESENT","ABSENT"))</x:f>
      </x:c>
      <x:c r="I54" t="str">
        <x:f>IF(A54="","",IF(LEFT(D54,2)="22",PARAMETRES!$B$5,IF(LEFT(D54,2)="42",PARAMETRES!$B$6,IF(LEFT(D54,2)="45",PARAMETRES!$B$7,0))))</x:f>
      </x:c>
    </x:row>
    <x:row r="55">
      <x:c r="H55" t="str">
        <x:f>IF(OR(A55="",F55=""),"",IF(AND(B55=PARAMETRES!$B$2,LEFT(F55,10)&lt;=PARAMETRES!$B$3,OR(G55="",LEFT(G55,10)&gt;PARAMETRES!$B$3)),"PRESENT","ABSENT"))</x:f>
      </x:c>
      <x:c r="I55" t="str">
        <x:f>IF(A55="","",IF(LEFT(D55,2)="22",PARAMETRES!$B$5,IF(LEFT(D55,2)="42",PARAMETRES!$B$6,IF(LEFT(D55,2)="45",PARAMETRES!$B$7,0))))</x:f>
      </x:c>
    </x:row>
    <x:row r="56">
      <x:c r="H56" t="str">
        <x:f>IF(OR(A56="",F56=""),"",IF(AND(B56=PARAMETRES!$B$2,LEFT(F56,10)&lt;=PARAMETRES!$B$3,OR(G56="",LEFT(G56,10)&gt;PARAMETRES!$B$3)),"PRESENT","ABSENT"))</x:f>
      </x:c>
      <x:c r="I56" t="str">
        <x:f>IF(A56="","",IF(LEFT(D56,2)="22",PARAMETRES!$B$5,IF(LEFT(D56,2)="42",PARAMETRES!$B$6,IF(LEFT(D56,2)="45",PARAMETRES!$B$7,0))))</x:f>
      </x:c>
    </x:row>
    <x:row r="57">
      <x:c r="H57" t="str">
        <x:f>IF(OR(A57="",F57=""),"",IF(AND(B57=PARAMETRES!$B$2,LEFT(F57,10)&lt;=PARAMETRES!$B$3,OR(G57="",LEFT(G57,10)&gt;PARAMETRES!$B$3)),"PRESENT","ABSENT"))</x:f>
      </x:c>
      <x:c r="I57" t="str">
        <x:f>IF(A57="","",IF(LEFT(D57,2)="22",PARAMETRES!$B$5,IF(LEFT(D57,2)="42",PARAMETRES!$B$6,IF(LEFT(D57,2)="45",PARAMETRES!$B$7,0))))</x:f>
      </x:c>
    </x:row>
    <x:row r="58">
      <x:c r="H58" t="str">
        <x:f>IF(OR(A58="",F58=""),"",IF(AND(B58=PARAMETRES!$B$2,LEFT(F58,10)&lt;=PARAMETRES!$B$3,OR(G58="",LEFT(G58,10)&gt;PARAMETRES!$B$3)),"PRESENT","ABSENT"))</x:f>
      </x:c>
      <x:c r="I58" t="str">
        <x:f>IF(A58="","",IF(LEFT(D58,2)="22",PARAMETRES!$B$5,IF(LEFT(D58,2)="42",PARAMETRES!$B$6,IF(LEFT(D58,2)="45",PARAMETRES!$B$7,0))))</x:f>
      </x:c>
    </x:row>
    <x:row r="59">
      <x:c r="H59" t="str">
        <x:f>IF(OR(A59="",F59=""),"",IF(AND(B59=PARAMETRES!$B$2,LEFT(F59,10)&lt;=PARAMETRES!$B$3,OR(G59="",LEFT(G59,10)&gt;PARAMETRES!$B$3)),"PRESENT","ABSENT"))</x:f>
      </x:c>
      <x:c r="I59" t="str">
        <x:f>IF(A59="","",IF(LEFT(D59,2)="22",PARAMETRES!$B$5,IF(LEFT(D59,2)="42",PARAMETRES!$B$6,IF(LEFT(D59,2)="45",PARAMETRES!$B$7,0))))</x:f>
      </x:c>
    </x:row>
    <x:row r="60">
      <x:c r="H60" t="str">
        <x:f>IF(OR(A60="",F60=""),"",IF(AND(B60=PARAMETRES!$B$2,LEFT(F60,10)&lt;=PARAMETRES!$B$3,OR(G60="",LEFT(G60,10)&gt;PARAMETRES!$B$3)),"PRESENT","ABSENT"))</x:f>
      </x:c>
      <x:c r="I60" t="str">
        <x:f>IF(A60="","",IF(LEFT(D60,2)="22",PARAMETRES!$B$5,IF(LEFT(D60,2)="42",PARAMETRES!$B$6,IF(LEFT(D60,2)="45",PARAMETRES!$B$7,0))))</x:f>
      </x:c>
    </x:row>
    <x:row r="61">
      <x:c r="H61" t="str">
        <x:f>IF(OR(A61="",F61=""),"",IF(AND(B61=PARAMETRES!$B$2,LEFT(F61,10)&lt;=PARAMETRES!$B$3,OR(G61="",LEFT(G61,10)&gt;PARAMETRES!$B$3)),"PRESENT","ABSENT"))</x:f>
      </x:c>
      <x:c r="I61" t="str">
        <x:f>IF(A61="","",IF(LEFT(D61,2)="22",PARAMETRES!$B$5,IF(LEFT(D61,2)="42",PARAMETRES!$B$6,IF(LEFT(D61,2)="45",PARAMETRES!$B$7,0))))</x:f>
      </x:c>
    </x:row>
    <x:row r="62">
      <x:c r="H62" t="str">
        <x:f>IF(OR(A62="",F62=""),"",IF(AND(B62=PARAMETRES!$B$2,LEFT(F62,10)&lt;=PARAMETRES!$B$3,OR(G62="",LEFT(G62,10)&gt;PARAMETRES!$B$3)),"PRESENT","ABSENT"))</x:f>
      </x:c>
      <x:c r="I62" t="str">
        <x:f>IF(A62="","",IF(LEFT(D62,2)="22",PARAMETRES!$B$5,IF(LEFT(D62,2)="42",PARAMETRES!$B$6,IF(LEFT(D62,2)="45",PARAMETRES!$B$7,0))))</x:f>
      </x:c>
    </x:row>
    <x:row r="63">
      <x:c r="H63" t="str">
        <x:f>IF(OR(A63="",F63=""),"",IF(AND(B63=PARAMETRES!$B$2,LEFT(F63,10)&lt;=PARAMETRES!$B$3,OR(G63="",LEFT(G63,10)&gt;PARAMETRES!$B$3)),"PRESENT","ABSENT"))</x:f>
      </x:c>
      <x:c r="I63" t="str">
        <x:f>IF(A63="","",IF(LEFT(D63,2)="22",PARAMETRES!$B$5,IF(LEFT(D63,2)="42",PARAMETRES!$B$6,IF(LEFT(D63,2)="45",PARAMETRES!$B$7,0))))</x:f>
      </x:c>
    </x:row>
    <x:row r="64">
      <x:c r="H64" t="str">
        <x:f>IF(OR(A64="",F64=""),"",IF(AND(B64=PARAMETRES!$B$2,LEFT(F64,10)&lt;=PARAMETRES!$B$3,OR(G64="",LEFT(G64,10)&gt;PARAMETRES!$B$3)),"PRESENT","ABSENT"))</x:f>
      </x:c>
      <x:c r="I64" t="str">
        <x:f>IF(A64="","",IF(LEFT(D64,2)="22",PARAMETRES!$B$5,IF(LEFT(D64,2)="42",PARAMETRES!$B$6,IF(LEFT(D64,2)="45",PARAMETRES!$B$7,0))))</x:f>
      </x:c>
    </x:row>
    <x:row r="65">
      <x:c r="H65" t="str">
        <x:f>IF(OR(A65="",F65=""),"",IF(AND(B65=PARAMETRES!$B$2,LEFT(F65,10)&lt;=PARAMETRES!$B$3,OR(G65="",LEFT(G65,10)&gt;PARAMETRES!$B$3)),"PRESENT","ABSENT"))</x:f>
      </x:c>
      <x:c r="I65" t="str">
        <x:f>IF(A65="","",IF(LEFT(D65,2)="22",PARAMETRES!$B$5,IF(LEFT(D65,2)="42",PARAMETRES!$B$6,IF(LEFT(D65,2)="45",PARAMETRES!$B$7,0))))</x:f>
      </x:c>
    </x:row>
    <x:row r="66">
      <x:c r="H66" t="str">
        <x:f>IF(OR(A66="",F66=""),"",IF(AND(B66=PARAMETRES!$B$2,LEFT(F66,10)&lt;=PARAMETRES!$B$3,OR(G66="",LEFT(G66,10)&gt;PARAMETRES!$B$3)),"PRESENT","ABSENT"))</x:f>
      </x:c>
      <x:c r="I66" t="str">
        <x:f>IF(A66="","",IF(LEFT(D66,2)="22",PARAMETRES!$B$5,IF(LEFT(D66,2)="42",PARAMETRES!$B$6,IF(LEFT(D66,2)="45",PARAMETRES!$B$7,0))))</x:f>
      </x:c>
    </x:row>
    <x:row r="67">
      <x:c r="H67" t="str">
        <x:f>IF(OR(A67="",F67=""),"",IF(AND(B67=PARAMETRES!$B$2,LEFT(F67,10)&lt;=PARAMETRES!$B$3,OR(G67="",LEFT(G67,10)&gt;PARAMETRES!$B$3)),"PRESENT","ABSENT"))</x:f>
      </x:c>
      <x:c r="I67" t="str">
        <x:f>IF(A67="","",IF(LEFT(D67,2)="22",PARAMETRES!$B$5,IF(LEFT(D67,2)="42",PARAMETRES!$B$6,IF(LEFT(D67,2)="45",PARAMETRES!$B$7,0))))</x:f>
      </x:c>
    </x:row>
    <x:row r="68">
      <x:c r="H68" t="str">
        <x:f>IF(OR(A68="",F68=""),"",IF(AND(B68=PARAMETRES!$B$2,LEFT(F68,10)&lt;=PARAMETRES!$B$3,OR(G68="",LEFT(G68,10)&gt;PARAMETRES!$B$3)),"PRESENT","ABSENT"))</x:f>
      </x:c>
      <x:c r="I68" t="str">
        <x:f>IF(A68="","",IF(LEFT(D68,2)="22",PARAMETRES!$B$5,IF(LEFT(D68,2)="42",PARAMETRES!$B$6,IF(LEFT(D68,2)="45",PARAMETRES!$B$7,0))))</x:f>
      </x:c>
    </x:row>
    <x:row r="69">
      <x:c r="H69" t="str">
        <x:f>IF(OR(A69="",F69=""),"",IF(AND(B69=PARAMETRES!$B$2,LEFT(F69,10)&lt;=PARAMETRES!$B$3,OR(G69="",LEFT(G69,10)&gt;PARAMETRES!$B$3)),"PRESENT","ABSENT"))</x:f>
      </x:c>
      <x:c r="I69" t="str">
        <x:f>IF(A69="","",IF(LEFT(D69,2)="22",PARAMETRES!$B$5,IF(LEFT(D69,2)="42",PARAMETRES!$B$6,IF(LEFT(D69,2)="45",PARAMETRES!$B$7,0))))</x:f>
      </x:c>
    </x:row>
    <x:row r="70">
      <x:c r="H70" t="str">
        <x:f>IF(OR(A70="",F70=""),"",IF(AND(B70=PARAMETRES!$B$2,LEFT(F70,10)&lt;=PARAMETRES!$B$3,OR(G70="",LEFT(G70,10)&gt;PARAMETRES!$B$3)),"PRESENT","ABSENT"))</x:f>
      </x:c>
      <x:c r="I70" t="str">
        <x:f>IF(A70="","",IF(LEFT(D70,2)="22",PARAMETRES!$B$5,IF(LEFT(D70,2)="42",PARAMETRES!$B$6,IF(LEFT(D70,2)="45",PARAMETRES!$B$7,0))))</x:f>
      </x:c>
    </x:row>
    <x:row r="71">
      <x:c r="H71" t="str">
        <x:f>IF(OR(A71="",F71=""),"",IF(AND(B71=PARAMETRES!$B$2,LEFT(F71,10)&lt;=PARAMETRES!$B$3,OR(G71="",LEFT(G71,10)&gt;PARAMETRES!$B$3)),"PRESENT","ABSENT"))</x:f>
      </x:c>
      <x:c r="I71" t="str">
        <x:f>IF(A71="","",IF(LEFT(D71,2)="22",PARAMETRES!$B$5,IF(LEFT(D71,2)="42",PARAMETRES!$B$6,IF(LEFT(D71,2)="45",PARAMETRES!$B$7,0))))</x:f>
      </x:c>
    </x:row>
    <x:row r="72">
      <x:c r="H72" t="str">
        <x:f>IF(OR(A72="",F72=""),"",IF(AND(B72=PARAMETRES!$B$2,LEFT(F72,10)&lt;=PARAMETRES!$B$3,OR(G72="",LEFT(G72,10)&gt;PARAMETRES!$B$3)),"PRESENT","ABSENT"))</x:f>
      </x:c>
      <x:c r="I72" t="str">
        <x:f>IF(A72="","",IF(LEFT(D72,2)="22",PARAMETRES!$B$5,IF(LEFT(D72,2)="42",PARAMETRES!$B$6,IF(LEFT(D72,2)="45",PARAMETRES!$B$7,0))))</x:f>
      </x:c>
    </x:row>
    <x:row r="73">
      <x:c r="H73" t="str">
        <x:f>IF(OR(A73="",F73=""),"",IF(AND(B73=PARAMETRES!$B$2,LEFT(F73,10)&lt;=PARAMETRES!$B$3,OR(G73="",LEFT(G73,10)&gt;PARAMETRES!$B$3)),"PRESENT","ABSENT"))</x:f>
      </x:c>
      <x:c r="I73" t="str">
        <x:f>IF(A73="","",IF(LEFT(D73,2)="22",PARAMETRES!$B$5,IF(LEFT(D73,2)="42",PARAMETRES!$B$6,IF(LEFT(D73,2)="45",PARAMETRES!$B$7,0))))</x:f>
      </x:c>
    </x:row>
    <x:row r="74">
      <x:c r="H74" t="str">
        <x:f>IF(OR(A74="",F74=""),"",IF(AND(B74=PARAMETRES!$B$2,LEFT(F74,10)&lt;=PARAMETRES!$B$3,OR(G74="",LEFT(G74,10)&gt;PARAMETRES!$B$3)),"PRESENT","ABSENT"))</x:f>
      </x:c>
      <x:c r="I74" t="str">
        <x:f>IF(A74="","",IF(LEFT(D74,2)="22",PARAMETRES!$B$5,IF(LEFT(D74,2)="42",PARAMETRES!$B$6,IF(LEFT(D74,2)="45",PARAMETRES!$B$7,0))))</x:f>
      </x:c>
    </x:row>
    <x:row r="75">
      <x:c r="H75" t="str">
        <x:f>IF(OR(A75="",F75=""),"",IF(AND(B75=PARAMETRES!$B$2,LEFT(F75,10)&lt;=PARAMETRES!$B$3,OR(G75="",LEFT(G75,10)&gt;PARAMETRES!$B$3)),"PRESENT","ABSENT"))</x:f>
      </x:c>
      <x:c r="I75" t="str">
        <x:f>IF(A75="","",IF(LEFT(D75,2)="22",PARAMETRES!$B$5,IF(LEFT(D75,2)="42",PARAMETRES!$B$6,IF(LEFT(D75,2)="45",PARAMETRES!$B$7,0))))</x:f>
      </x:c>
    </x:row>
    <x:row r="76">
      <x:c r="H76" t="str">
        <x:f>IF(OR(A76="",F76=""),"",IF(AND(B76=PARAMETRES!$B$2,LEFT(F76,10)&lt;=PARAMETRES!$B$3,OR(G76="",LEFT(G76,10)&gt;PARAMETRES!$B$3)),"PRESENT","ABSENT"))</x:f>
      </x:c>
      <x:c r="I76" t="str">
        <x:f>IF(A76="","",IF(LEFT(D76,2)="22",PARAMETRES!$B$5,IF(LEFT(D76,2)="42",PARAMETRES!$B$6,IF(LEFT(D76,2)="45",PARAMETRES!$B$7,0))))</x:f>
      </x:c>
    </x:row>
    <x:row r="77">
      <x:c r="H77" t="str">
        <x:f>IF(OR(A77="",F77=""),"",IF(AND(B77=PARAMETRES!$B$2,LEFT(F77,10)&lt;=PARAMETRES!$B$3,OR(G77="",LEFT(G77,10)&gt;PARAMETRES!$B$3)),"PRESENT","ABSENT"))</x:f>
      </x:c>
      <x:c r="I77" t="str">
        <x:f>IF(A77="","",IF(LEFT(D77,2)="22",PARAMETRES!$B$5,IF(LEFT(D77,2)="42",PARAMETRES!$B$6,IF(LEFT(D77,2)="45",PARAMETRES!$B$7,0))))</x:f>
      </x:c>
    </x:row>
    <x:row r="78">
      <x:c r="H78" t="str">
        <x:f>IF(OR(A78="",F78=""),"",IF(AND(B78=PARAMETRES!$B$2,LEFT(F78,10)&lt;=PARAMETRES!$B$3,OR(G78="",LEFT(G78,10)&gt;PARAMETRES!$B$3)),"PRESENT","ABSENT"))</x:f>
      </x:c>
      <x:c r="I78" t="str">
        <x:f>IF(A78="","",IF(LEFT(D78,2)="22",PARAMETRES!$B$5,IF(LEFT(D78,2)="42",PARAMETRES!$B$6,IF(LEFT(D78,2)="45",PARAMETRES!$B$7,0))))</x:f>
      </x:c>
    </x:row>
    <x:row r="79">
      <x:c r="H79" t="str">
        <x:f>IF(OR(A79="",F79=""),"",IF(AND(B79=PARAMETRES!$B$2,LEFT(F79,10)&lt;=PARAMETRES!$B$3,OR(G79="",LEFT(G79,10)&gt;PARAMETRES!$B$3)),"PRESENT","ABSENT"))</x:f>
      </x:c>
      <x:c r="I79" t="str">
        <x:f>IF(A79="","",IF(LEFT(D79,2)="22",PARAMETRES!$B$5,IF(LEFT(D79,2)="42",PARAMETRES!$B$6,IF(LEFT(D79,2)="45",PARAMETRES!$B$7,0))))</x:f>
      </x:c>
    </x:row>
    <x:row r="80">
      <x:c r="H80" t="str">
        <x:f>IF(OR(A80="",F80=""),"",IF(AND(B80=PARAMETRES!$B$2,LEFT(F80,10)&lt;=PARAMETRES!$B$3,OR(G80="",LEFT(G80,10)&gt;PARAMETRES!$B$3)),"PRESENT","ABSENT"))</x:f>
      </x:c>
      <x:c r="I80" t="str">
        <x:f>IF(A80="","",IF(LEFT(D80,2)="22",PARAMETRES!$B$5,IF(LEFT(D80,2)="42",PARAMETRES!$B$6,IF(LEFT(D80,2)="45",PARAMETRES!$B$7,0))))</x:f>
      </x:c>
    </x:row>
    <x:row r="81">
      <x:c r="H81" t="str">
        <x:f>IF(OR(A81="",F81=""),"",IF(AND(B81=PARAMETRES!$B$2,LEFT(F81,10)&lt;=PARAMETRES!$B$3,OR(G81="",LEFT(G81,10)&gt;PARAMETRES!$B$3)),"PRESENT","ABSENT"))</x:f>
      </x:c>
      <x:c r="I81" t="str">
        <x:f>IF(A81="","",IF(LEFT(D81,2)="22",PARAMETRES!$B$5,IF(LEFT(D81,2)="42",PARAMETRES!$B$6,IF(LEFT(D81,2)="45",PARAMETRES!$B$7,0))))</x:f>
      </x:c>
    </x:row>
    <x:row r="82">
      <x:c r="H82" t="str">
        <x:f>IF(OR(A82="",F82=""),"",IF(AND(B82=PARAMETRES!$B$2,LEFT(F82,10)&lt;=PARAMETRES!$B$3,OR(G82="",LEFT(G82,10)&gt;PARAMETRES!$B$3)),"PRESENT","ABSENT"))</x:f>
      </x:c>
      <x:c r="I82" t="str">
        <x:f>IF(A82="","",IF(LEFT(D82,2)="22",PARAMETRES!$B$5,IF(LEFT(D82,2)="42",PARAMETRES!$B$6,IF(LEFT(D82,2)="45",PARAMETRES!$B$7,0))))</x:f>
      </x:c>
    </x:row>
    <x:row r="83">
      <x:c r="H83" t="str">
        <x:f>IF(OR(A83="",F83=""),"",IF(AND(B83=PARAMETRES!$B$2,LEFT(F83,10)&lt;=PARAMETRES!$B$3,OR(G83="",LEFT(G83,10)&gt;PARAMETRES!$B$3)),"PRESENT","ABSENT"))</x:f>
      </x:c>
      <x:c r="I83" t="str">
        <x:f>IF(A83="","",IF(LEFT(D83,2)="22",PARAMETRES!$B$5,IF(LEFT(D83,2)="42",PARAMETRES!$B$6,IF(LEFT(D83,2)="45",PARAMETRES!$B$7,0))))</x:f>
      </x:c>
    </x:row>
    <x:row r="84">
      <x:c r="H84" t="str">
        <x:f>IF(OR(A84="",F84=""),"",IF(AND(B84=PARAMETRES!$B$2,LEFT(F84,10)&lt;=PARAMETRES!$B$3,OR(G84="",LEFT(G84,10)&gt;PARAMETRES!$B$3)),"PRESENT","ABSENT"))</x:f>
      </x:c>
      <x:c r="I84" t="str">
        <x:f>IF(A84="","",IF(LEFT(D84,2)="22",PARAMETRES!$B$5,IF(LEFT(D84,2)="42",PARAMETRES!$B$6,IF(LEFT(D84,2)="45",PARAMETRES!$B$7,0))))</x:f>
      </x:c>
    </x:row>
    <x:row r="85">
      <x:c r="H85" t="str">
        <x:f>IF(OR(A85="",F85=""),"",IF(AND(B85=PARAMETRES!$B$2,LEFT(F85,10)&lt;=PARAMETRES!$B$3,OR(G85="",LEFT(G85,10)&gt;PARAMETRES!$B$3)),"PRESENT","ABSENT"))</x:f>
      </x:c>
      <x:c r="I85" t="str">
        <x:f>IF(A85="","",IF(LEFT(D85,2)="22",PARAMETRES!$B$5,IF(LEFT(D85,2)="42",PARAMETRES!$B$6,IF(LEFT(D85,2)="45",PARAMETRES!$B$7,0))))</x:f>
      </x:c>
    </x:row>
    <x:row r="86">
      <x:c r="H86" t="str">
        <x:f>IF(OR(A86="",F86=""),"",IF(AND(B86=PARAMETRES!$B$2,LEFT(F86,10)&lt;=PARAMETRES!$B$3,OR(G86="",LEFT(G86,10)&gt;PARAMETRES!$B$3)),"PRESENT","ABSENT"))</x:f>
      </x:c>
      <x:c r="I86" t="str">
        <x:f>IF(A86="","",IF(LEFT(D86,2)="22",PARAMETRES!$B$5,IF(LEFT(D86,2)="42",PARAMETRES!$B$6,IF(LEFT(D86,2)="45",PARAMETRES!$B$7,0))))</x:f>
      </x:c>
    </x:row>
    <x:row r="87">
      <x:c r="H87" t="str">
        <x:f>IF(OR(A87="",F87=""),"",IF(AND(B87=PARAMETRES!$B$2,LEFT(F87,10)&lt;=PARAMETRES!$B$3,OR(G87="",LEFT(G87,10)&gt;PARAMETRES!$B$3)),"PRESENT","ABSENT"))</x:f>
      </x:c>
      <x:c r="I87" t="str">
        <x:f>IF(A87="","",IF(LEFT(D87,2)="22",PARAMETRES!$B$5,IF(LEFT(D87,2)="42",PARAMETRES!$B$6,IF(LEFT(D87,2)="45",PARAMETRES!$B$7,0))))</x:f>
      </x:c>
    </x:row>
    <x:row r="88">
      <x:c r="H88" t="str">
        <x:f>IF(OR(A88="",F88=""),"",IF(AND(B88=PARAMETRES!$B$2,LEFT(F88,10)&lt;=PARAMETRES!$B$3,OR(G88="",LEFT(G88,10)&gt;PARAMETRES!$B$3)),"PRESENT","ABSENT"))</x:f>
      </x:c>
      <x:c r="I88" t="str">
        <x:f>IF(A88="","",IF(LEFT(D88,2)="22",PARAMETRES!$B$5,IF(LEFT(D88,2)="42",PARAMETRES!$B$6,IF(LEFT(D88,2)="45",PARAMETRES!$B$7,0))))</x:f>
      </x:c>
    </x:row>
    <x:row r="89">
      <x:c r="H89" t="str">
        <x:f>IF(OR(A89="",F89=""),"",IF(AND(B89=PARAMETRES!$B$2,LEFT(F89,10)&lt;=PARAMETRES!$B$3,OR(G89="",LEFT(G89,10)&gt;PARAMETRES!$B$3)),"PRESENT","ABSENT"))</x:f>
      </x:c>
      <x:c r="I89" t="str">
        <x:f>IF(A89="","",IF(LEFT(D89,2)="22",PARAMETRES!$B$5,IF(LEFT(D89,2)="42",PARAMETRES!$B$6,IF(LEFT(D89,2)="45",PARAMETRES!$B$7,0))))</x:f>
      </x:c>
    </x:row>
    <x:row r="90">
      <x:c r="H90" t="str">
        <x:f>IF(OR(A90="",F90=""),"",IF(AND(B90=PARAMETRES!$B$2,LEFT(F90,10)&lt;=PARAMETRES!$B$3,OR(G90="",LEFT(G90,10)&gt;PARAMETRES!$B$3)),"PRESENT","ABSENT"))</x:f>
      </x:c>
      <x:c r="I90" t="str">
        <x:f>IF(A90="","",IF(LEFT(D90,2)="22",PARAMETRES!$B$5,IF(LEFT(D90,2)="42",PARAMETRES!$B$6,IF(LEFT(D90,2)="45",PARAMETRES!$B$7,0))))</x:f>
      </x:c>
    </x:row>
    <x:row r="91">
      <x:c r="H91" t="str">
        <x:f>IF(OR(A91="",F91=""),"",IF(AND(B91=PARAMETRES!$B$2,LEFT(F91,10)&lt;=PARAMETRES!$B$3,OR(G91="",LEFT(G91,10)&gt;PARAMETRES!$B$3)),"PRESENT","ABSENT"))</x:f>
      </x:c>
      <x:c r="I91" t="str">
        <x:f>IF(A91="","",IF(LEFT(D91,2)="22",PARAMETRES!$B$5,IF(LEFT(D91,2)="42",PARAMETRES!$B$6,IF(LEFT(D91,2)="45",PARAMETRES!$B$7,0))))</x:f>
      </x:c>
    </x:row>
    <x:row r="92">
      <x:c r="H92" t="str">
        <x:f>IF(OR(A92="",F92=""),"",IF(AND(B92=PARAMETRES!$B$2,LEFT(F92,10)&lt;=PARAMETRES!$B$3,OR(G92="",LEFT(G92,10)&gt;PARAMETRES!$B$3)),"PRESENT","ABSENT"))</x:f>
      </x:c>
      <x:c r="I92" t="str">
        <x:f>IF(A92="","",IF(LEFT(D92,2)="22",PARAMETRES!$B$5,IF(LEFT(D92,2)="42",PARAMETRES!$B$6,IF(LEFT(D92,2)="45",PARAMETRES!$B$7,0))))</x:f>
      </x:c>
    </x:row>
    <x:row r="93">
      <x:c r="H93" t="str">
        <x:f>IF(OR(A93="",F93=""),"",IF(AND(B93=PARAMETRES!$B$2,LEFT(F93,10)&lt;=PARAMETRES!$B$3,OR(G93="",LEFT(G93,10)&gt;PARAMETRES!$B$3)),"PRESENT","ABSENT"))</x:f>
      </x:c>
      <x:c r="I93" t="str">
        <x:f>IF(A93="","",IF(LEFT(D93,2)="22",PARAMETRES!$B$5,IF(LEFT(D93,2)="42",PARAMETRES!$B$6,IF(LEFT(D93,2)="45",PARAMETRES!$B$7,0))))</x:f>
      </x:c>
    </x:row>
    <x:row r="94">
      <x:c r="H94" t="str">
        <x:f>IF(OR(A94="",F94=""),"",IF(AND(B94=PARAMETRES!$B$2,LEFT(F94,10)&lt;=PARAMETRES!$B$3,OR(G94="",LEFT(G94,10)&gt;PARAMETRES!$B$3)),"PRESENT","ABSENT"))</x:f>
      </x:c>
      <x:c r="I94" t="str">
        <x:f>IF(A94="","",IF(LEFT(D94,2)="22",PARAMETRES!$B$5,IF(LEFT(D94,2)="42",PARAMETRES!$B$6,IF(LEFT(D94,2)="45",PARAMETRES!$B$7,0))))</x:f>
      </x:c>
    </x:row>
    <x:row r="95">
      <x:c r="H95" t="str">
        <x:f>IF(OR(A95="",F95=""),"",IF(AND(B95=PARAMETRES!$B$2,LEFT(F95,10)&lt;=PARAMETRES!$B$3,OR(G95="",LEFT(G95,10)&gt;PARAMETRES!$B$3)),"PRESENT","ABSENT"))</x:f>
      </x:c>
      <x:c r="I95" t="str">
        <x:f>IF(A95="","",IF(LEFT(D95,2)="22",PARAMETRES!$B$5,IF(LEFT(D95,2)="42",PARAMETRES!$B$6,IF(LEFT(D95,2)="45",PARAMETRES!$B$7,0))))</x:f>
      </x:c>
    </x:row>
    <x:row r="96">
      <x:c r="H96" t="str">
        <x:f>IF(OR(A96="",F96=""),"",IF(AND(B96=PARAMETRES!$B$2,LEFT(F96,10)&lt;=PARAMETRES!$B$3,OR(G96="",LEFT(G96,10)&gt;PARAMETRES!$B$3)),"PRESENT","ABSENT"))</x:f>
      </x:c>
      <x:c r="I96" t="str">
        <x:f>IF(A96="","",IF(LEFT(D96,2)="22",PARAMETRES!$B$5,IF(LEFT(D96,2)="42",PARAMETRES!$B$6,IF(LEFT(D96,2)="45",PARAMETRES!$B$7,0))))</x:f>
      </x:c>
    </x:row>
    <x:row r="97">
      <x:c r="H97" t="str">
        <x:f>IF(OR(A97="",F97=""),"",IF(AND(B97=PARAMETRES!$B$2,LEFT(F97,10)&lt;=PARAMETRES!$B$3,OR(G97="",LEFT(G97,10)&gt;PARAMETRES!$B$3)),"PRESENT","ABSENT"))</x:f>
      </x:c>
      <x:c r="I97" t="str">
        <x:f>IF(A97="","",IF(LEFT(D97,2)="22",PARAMETRES!$B$5,IF(LEFT(D97,2)="42",PARAMETRES!$B$6,IF(LEFT(D97,2)="45",PARAMETRES!$B$7,0))))</x:f>
      </x:c>
    </x:row>
    <x:row r="98">
      <x:c r="H98" t="str">
        <x:f>IF(OR(A98="",F98=""),"",IF(AND(B98=PARAMETRES!$B$2,LEFT(F98,10)&lt;=PARAMETRES!$B$3,OR(G98="",LEFT(G98,10)&gt;PARAMETRES!$B$3)),"PRESENT","ABSENT"))</x:f>
      </x:c>
      <x:c r="I98" t="str">
        <x:f>IF(A98="","",IF(LEFT(D98,2)="22",PARAMETRES!$B$5,IF(LEFT(D98,2)="42",PARAMETRES!$B$6,IF(LEFT(D98,2)="45",PARAMETRES!$B$7,0))))</x:f>
      </x:c>
    </x:row>
    <x:row r="99">
      <x:c r="H99" t="str">
        <x:f>IF(OR(A99="",F99=""),"",IF(AND(B99=PARAMETRES!$B$2,LEFT(F99,10)&lt;=PARAMETRES!$B$3,OR(G99="",LEFT(G99,10)&gt;PARAMETRES!$B$3)),"PRESENT","ABSENT"))</x:f>
      </x:c>
      <x:c r="I99" t="str">
        <x:f>IF(A99="","",IF(LEFT(D99,2)="22",PARAMETRES!$B$5,IF(LEFT(D99,2)="42",PARAMETRES!$B$6,IF(LEFT(D99,2)="45",PARAMETRES!$B$7,0))))</x:f>
      </x:c>
    </x:row>
    <x:row r="100">
      <x:c r="H100" t="str">
        <x:f>IF(OR(A100="",F100=""),"",IF(AND(B100=PARAMETRES!$B$2,LEFT(F100,10)&lt;=PARAMETRES!$B$3,OR(G100="",LEFT(G100,10)&gt;PARAMETRES!$B$3)),"PRESENT","ABSENT"))</x:f>
      </x:c>
      <x:c r="I100" t="str">
        <x:f>IF(A100="","",IF(LEFT(D100,2)="22",PARAMETRES!$B$5,IF(LEFT(D100,2)="42",PARAMETRES!$B$6,IF(LEFT(D100,2)="45",PARAMETRES!$B$7,0))))</x:f>
      </x:c>
    </x:row>
    <x:row r="101">
      <x:c r="H101" t="str">
        <x:f>IF(OR(A101="",F101=""),"",IF(AND(B101=PARAMETRES!$B$2,LEFT(F101,10)&lt;=PARAMETRES!$B$3,OR(G101="",LEFT(G101,10)&gt;PARAMETRES!$B$3)),"PRESENT","ABSENT"))</x:f>
      </x:c>
      <x:c r="I101" t="str">
        <x:f>IF(A101="","",IF(LEFT(D101,2)="22",PARAMETRES!$B$5,IF(LEFT(D101,2)="42",PARAMETRES!$B$6,IF(LEFT(D101,2)="45",PARAMETRES!$B$7,0))))</x:f>
      </x:c>
    </x:row>
    <x:row r="102">
      <x:c r="H102" t="str">
        <x:f>IF(OR(A102="",F102=""),"",IF(AND(B102=PARAMETRES!$B$2,LEFT(F102,10)&lt;=PARAMETRES!$B$3,OR(G102="",LEFT(G102,10)&gt;PARAMETRES!$B$3)),"PRESENT","ABSENT"))</x:f>
      </x:c>
      <x:c r="I102" t="str">
        <x:f>IF(A102="","",IF(LEFT(D102,2)="22",PARAMETRES!$B$5,IF(LEFT(D102,2)="42",PARAMETRES!$B$6,IF(LEFT(D102,2)="45",PARAMETRES!$B$7,0))))</x:f>
      </x:c>
    </x:row>
    <x:row r="103">
      <x:c r="H103" t="str">
        <x:f>IF(OR(A103="",F103=""),"",IF(AND(B103=PARAMETRES!$B$2,LEFT(F103,10)&lt;=PARAMETRES!$B$3,OR(G103="",LEFT(G103,10)&gt;PARAMETRES!$B$3)),"PRESENT","ABSENT"))</x:f>
      </x:c>
      <x:c r="I103" t="str">
        <x:f>IF(A103="","",IF(LEFT(D103,2)="22",PARAMETRES!$B$5,IF(LEFT(D103,2)="42",PARAMETRES!$B$6,IF(LEFT(D103,2)="45",PARAMETRES!$B$7,0))))</x:f>
      </x:c>
    </x:row>
    <x:row r="104">
      <x:c r="H104" t="str">
        <x:f>IF(OR(A104="",F104=""),"",IF(AND(B104=PARAMETRES!$B$2,LEFT(F104,10)&lt;=PARAMETRES!$B$3,OR(G104="",LEFT(G104,10)&gt;PARAMETRES!$B$3)),"PRESENT","ABSENT"))</x:f>
      </x:c>
      <x:c r="I104" t="str">
        <x:f>IF(A104="","",IF(LEFT(D104,2)="22",PARAMETRES!$B$5,IF(LEFT(D104,2)="42",PARAMETRES!$B$6,IF(LEFT(D104,2)="45",PARAMETRES!$B$7,0))))</x:f>
      </x:c>
    </x:row>
    <x:row r="105">
      <x:c r="H105" t="str">
        <x:f>IF(OR(A105="",F105=""),"",IF(AND(B105=PARAMETRES!$B$2,LEFT(F105,10)&lt;=PARAMETRES!$B$3,OR(G105="",LEFT(G105,10)&gt;PARAMETRES!$B$3)),"PRESENT","ABSENT"))</x:f>
      </x:c>
      <x:c r="I105" t="str">
        <x:f>IF(A105="","",IF(LEFT(D105,2)="22",PARAMETRES!$B$5,IF(LEFT(D105,2)="42",PARAMETRES!$B$6,IF(LEFT(D105,2)="45",PARAMETRES!$B$7,0))))</x:f>
      </x:c>
    </x:row>
    <x:row r="106">
      <x:c r="H106" t="str">
        <x:f>IF(OR(A106="",F106=""),"",IF(AND(B106=PARAMETRES!$B$2,LEFT(F106,10)&lt;=PARAMETRES!$B$3,OR(G106="",LEFT(G106,10)&gt;PARAMETRES!$B$3)),"PRESENT","ABSENT"))</x:f>
      </x:c>
      <x:c r="I106" t="str">
        <x:f>IF(A106="","",IF(LEFT(D106,2)="22",PARAMETRES!$B$5,IF(LEFT(D106,2)="42",PARAMETRES!$B$6,IF(LEFT(D106,2)="45",PARAMETRES!$B$7,0))))</x:f>
      </x:c>
    </x:row>
    <x:row r="107">
      <x:c r="H107" t="str">
        <x:f>IF(OR(A107="",F107=""),"",IF(AND(B107=PARAMETRES!$B$2,LEFT(F107,10)&lt;=PARAMETRES!$B$3,OR(G107="",LEFT(G107,10)&gt;PARAMETRES!$B$3)),"PRESENT","ABSENT"))</x:f>
      </x:c>
      <x:c r="I107" t="str">
        <x:f>IF(A107="","",IF(LEFT(D107,2)="22",PARAMETRES!$B$5,IF(LEFT(D107,2)="42",PARAMETRES!$B$6,IF(LEFT(D107,2)="45",PARAMETRES!$B$7,0))))</x:f>
      </x:c>
    </x:row>
    <x:row r="108">
      <x:c r="H108" t="str">
        <x:f>IF(OR(A108="",F108=""),"",IF(AND(B108=PARAMETRES!$B$2,LEFT(F108,10)&lt;=PARAMETRES!$B$3,OR(G108="",LEFT(G108,10)&gt;PARAMETRES!$B$3)),"PRESENT","ABSENT"))</x:f>
      </x:c>
      <x:c r="I108" t="str">
        <x:f>IF(A108="","",IF(LEFT(D108,2)="22",PARAMETRES!$B$5,IF(LEFT(D108,2)="42",PARAMETRES!$B$6,IF(LEFT(D108,2)="45",PARAMETRES!$B$7,0))))</x:f>
      </x:c>
    </x:row>
    <x:row r="109">
      <x:c r="H109" t="str">
        <x:f>IF(OR(A109="",F109=""),"",IF(AND(B109=PARAMETRES!$B$2,LEFT(F109,10)&lt;=PARAMETRES!$B$3,OR(G109="",LEFT(G109,10)&gt;PARAMETRES!$B$3)),"PRESENT","ABSENT"))</x:f>
      </x:c>
      <x:c r="I109" t="str">
        <x:f>IF(A109="","",IF(LEFT(D109,2)="22",PARAMETRES!$B$5,IF(LEFT(D109,2)="42",PARAMETRES!$B$6,IF(LEFT(D109,2)="45",PARAMETRES!$B$7,0))))</x:f>
      </x:c>
    </x:row>
    <x:row r="110">
      <x:c r="H110" t="str">
        <x:f>IF(OR(A110="",F110=""),"",IF(AND(B110=PARAMETRES!$B$2,LEFT(F110,10)&lt;=PARAMETRES!$B$3,OR(G110="",LEFT(G110,10)&gt;PARAMETRES!$B$3)),"PRESENT","ABSENT"))</x:f>
      </x:c>
      <x:c r="I110" t="str">
        <x:f>IF(A110="","",IF(LEFT(D110,2)="22",PARAMETRES!$B$5,IF(LEFT(D110,2)="42",PARAMETRES!$B$6,IF(LEFT(D110,2)="45",PARAMETRES!$B$7,0))))</x:f>
      </x:c>
    </x:row>
    <x:row r="111">
      <x:c r="H111" t="str">
        <x:f>IF(OR(A111="",F111=""),"",IF(AND(B111=PARAMETRES!$B$2,LEFT(F111,10)&lt;=PARAMETRES!$B$3,OR(G111="",LEFT(G111,10)&gt;PARAMETRES!$B$3)),"PRESENT","ABSENT"))</x:f>
      </x:c>
      <x:c r="I111" t="str">
        <x:f>IF(A111="","",IF(LEFT(D111,2)="22",PARAMETRES!$B$5,IF(LEFT(D111,2)="42",PARAMETRES!$B$6,IF(LEFT(D111,2)="45",PARAMETRES!$B$7,0))))</x:f>
      </x:c>
    </x:row>
    <x:row r="112">
      <x:c r="H112" t="str">
        <x:f>IF(OR(A112="",F112=""),"",IF(AND(B112=PARAMETRES!$B$2,LEFT(F112,10)&lt;=PARAMETRES!$B$3,OR(G112="",LEFT(G112,10)&gt;PARAMETRES!$B$3)),"PRESENT","ABSENT"))</x:f>
      </x:c>
      <x:c r="I112" t="str">
        <x:f>IF(A112="","",IF(LEFT(D112,2)="22",PARAMETRES!$B$5,IF(LEFT(D112,2)="42",PARAMETRES!$B$6,IF(LEFT(D112,2)="45",PARAMETRES!$B$7,0))))</x:f>
      </x:c>
    </x:row>
    <x:row r="113">
      <x:c r="H113" t="str">
        <x:f>IF(OR(A113="",F113=""),"",IF(AND(B113=PARAMETRES!$B$2,LEFT(F113,10)&lt;=PARAMETRES!$B$3,OR(G113="",LEFT(G113,10)&gt;PARAMETRES!$B$3)),"PRESENT","ABSENT"))</x:f>
      </x:c>
      <x:c r="I113" t="str">
        <x:f>IF(A113="","",IF(LEFT(D113,2)="22",PARAMETRES!$B$5,IF(LEFT(D113,2)="42",PARAMETRES!$B$6,IF(LEFT(D113,2)="45",PARAMETRES!$B$7,0))))</x:f>
      </x:c>
    </x:row>
    <x:row r="114">
      <x:c r="H114" t="str">
        <x:f>IF(OR(A114="",F114=""),"",IF(AND(B114=PARAMETRES!$B$2,LEFT(F114,10)&lt;=PARAMETRES!$B$3,OR(G114="",LEFT(G114,10)&gt;PARAMETRES!$B$3)),"PRESENT","ABSENT"))</x:f>
      </x:c>
      <x:c r="I114" t="str">
        <x:f>IF(A114="","",IF(LEFT(D114,2)="22",PARAMETRES!$B$5,IF(LEFT(D114,2)="42",PARAMETRES!$B$6,IF(LEFT(D114,2)="45",PARAMETRES!$B$7,0))))</x:f>
      </x:c>
    </x:row>
    <x:row r="115">
      <x:c r="H115" t="str">
        <x:f>IF(OR(A115="",F115=""),"",IF(AND(B115=PARAMETRES!$B$2,LEFT(F115,10)&lt;=PARAMETRES!$B$3,OR(G115="",LEFT(G115,10)&gt;PARAMETRES!$B$3)),"PRESENT","ABSENT"))</x:f>
      </x:c>
      <x:c r="I115" t="str">
        <x:f>IF(A115="","",IF(LEFT(D115,2)="22",PARAMETRES!$B$5,IF(LEFT(D115,2)="42",PARAMETRES!$B$6,IF(LEFT(D115,2)="45",PARAMETRES!$B$7,0))))</x:f>
      </x:c>
    </x:row>
    <x:row r="116">
      <x:c r="H116" t="str">
        <x:f>IF(OR(A116="",F116=""),"",IF(AND(B116=PARAMETRES!$B$2,LEFT(F116,10)&lt;=PARAMETRES!$B$3,OR(G116="",LEFT(G116,10)&gt;PARAMETRES!$B$3)),"PRESENT","ABSENT"))</x:f>
      </x:c>
      <x:c r="I116" t="str">
        <x:f>IF(A116="","",IF(LEFT(D116,2)="22",PARAMETRES!$B$5,IF(LEFT(D116,2)="42",PARAMETRES!$B$6,IF(LEFT(D116,2)="45",PARAMETRES!$B$7,0))))</x:f>
      </x:c>
    </x:row>
    <x:row r="117">
      <x:c r="H117" t="str">
        <x:f>IF(OR(A117="",F117=""),"",IF(AND(B117=PARAMETRES!$B$2,LEFT(F117,10)&lt;=PARAMETRES!$B$3,OR(G117="",LEFT(G117,10)&gt;PARAMETRES!$B$3)),"PRESENT","ABSENT"))</x:f>
      </x:c>
      <x:c r="I117" t="str">
        <x:f>IF(A117="","",IF(LEFT(D117,2)="22",PARAMETRES!$B$5,IF(LEFT(D117,2)="42",PARAMETRES!$B$6,IF(LEFT(D117,2)="45",PARAMETRES!$B$7,0))))</x:f>
      </x:c>
    </x:row>
    <x:row r="118">
      <x:c r="H118" t="str">
        <x:f>IF(OR(A118="",F118=""),"",IF(AND(B118=PARAMETRES!$B$2,LEFT(F118,10)&lt;=PARAMETRES!$B$3,OR(G118="",LEFT(G118,10)&gt;PARAMETRES!$B$3)),"PRESENT","ABSENT"))</x:f>
      </x:c>
      <x:c r="I118" t="str">
        <x:f>IF(A118="","",IF(LEFT(D118,2)="22",PARAMETRES!$B$5,IF(LEFT(D118,2)="42",PARAMETRES!$B$6,IF(LEFT(D118,2)="45",PARAMETRES!$B$7,0))))</x:f>
      </x:c>
    </x:row>
    <x:row r="119">
      <x:c r="H119" t="str">
        <x:f>IF(OR(A119="",F119=""),"",IF(AND(B119=PARAMETRES!$B$2,LEFT(F119,10)&lt;=PARAMETRES!$B$3,OR(G119="",LEFT(G119,10)&gt;PARAMETRES!$B$3)),"PRESENT","ABSENT"))</x:f>
      </x:c>
      <x:c r="I119" t="str">
        <x:f>IF(A119="","",IF(LEFT(D119,2)="22",PARAMETRES!$B$5,IF(LEFT(D119,2)="42",PARAMETRES!$B$6,IF(LEFT(D119,2)="45",PARAMETRES!$B$7,0))))</x:f>
      </x:c>
    </x:row>
    <x:row r="120">
      <x:c r="H120" t="str">
        <x:f>IF(OR(A120="",F120=""),"",IF(AND(B120=PARAMETRES!$B$2,LEFT(F120,10)&lt;=PARAMETRES!$B$3,OR(G120="",LEFT(G120,10)&gt;PARAMETRES!$B$3)),"PRESENT","ABSENT"))</x:f>
      </x:c>
      <x:c r="I120" t="str">
        <x:f>IF(A120="","",IF(LEFT(D120,2)="22",PARAMETRES!$B$5,IF(LEFT(D120,2)="42",PARAMETRES!$B$6,IF(LEFT(D120,2)="45",PARAMETRES!$B$7,0))))</x:f>
      </x:c>
    </x:row>
    <x:row r="121">
      <x:c r="H121" t="str">
        <x:f>IF(OR(A121="",F121=""),"",IF(AND(B121=PARAMETRES!$B$2,LEFT(F121,10)&lt;=PARAMETRES!$B$3,OR(G121="",LEFT(G121,10)&gt;PARAMETRES!$B$3)),"PRESENT","ABSENT"))</x:f>
      </x:c>
      <x:c r="I121" t="str">
        <x:f>IF(A121="","",IF(LEFT(D121,2)="22",PARAMETRES!$B$5,IF(LEFT(D121,2)="42",PARAMETRES!$B$6,IF(LEFT(D121,2)="45",PARAMETRES!$B$7,0))))</x:f>
      </x:c>
    </x:row>
    <x:row r="122">
      <x:c r="H122" t="str">
        <x:f>IF(OR(A122="",F122=""),"",IF(AND(B122=PARAMETRES!$B$2,LEFT(F122,10)&lt;=PARAMETRES!$B$3,OR(G122="",LEFT(G122,10)&gt;PARAMETRES!$B$3)),"PRESENT","ABSENT"))</x:f>
      </x:c>
      <x:c r="I122" t="str">
        <x:f>IF(A122="","",IF(LEFT(D122,2)="22",PARAMETRES!$B$5,IF(LEFT(D122,2)="42",PARAMETRES!$B$6,IF(LEFT(D122,2)="45",PARAMETRES!$B$7,0))))</x:f>
      </x:c>
    </x:row>
    <x:row r="123">
      <x:c r="H123" t="str">
        <x:f>IF(OR(A123="",F123=""),"",IF(AND(B123=PARAMETRES!$B$2,LEFT(F123,10)&lt;=PARAMETRES!$B$3,OR(G123="",LEFT(G123,10)&gt;PARAMETRES!$B$3)),"PRESENT","ABSENT"))</x:f>
      </x:c>
      <x:c r="I123" t="str">
        <x:f>IF(A123="","",IF(LEFT(D123,2)="22",PARAMETRES!$B$5,IF(LEFT(D123,2)="42",PARAMETRES!$B$6,IF(LEFT(D123,2)="45",PARAMETRES!$B$7,0))))</x:f>
      </x:c>
    </x:row>
    <x:row r="124">
      <x:c r="H124" t="str">
        <x:f>IF(OR(A124="",F124=""),"",IF(AND(B124=PARAMETRES!$B$2,LEFT(F124,10)&lt;=PARAMETRES!$B$3,OR(G124="",LEFT(G124,10)&gt;PARAMETRES!$B$3)),"PRESENT","ABSENT"))</x:f>
      </x:c>
      <x:c r="I124" t="str">
        <x:f>IF(A124="","",IF(LEFT(D124,2)="22",PARAMETRES!$B$5,IF(LEFT(D124,2)="42",PARAMETRES!$B$6,IF(LEFT(D124,2)="45",PARAMETRES!$B$7,0))))</x:f>
      </x:c>
    </x:row>
    <x:row r="125">
      <x:c r="H125" t="str">
        <x:f>IF(OR(A125="",F125=""),"",IF(AND(B125=PARAMETRES!$B$2,LEFT(F125,10)&lt;=PARAMETRES!$B$3,OR(G125="",LEFT(G125,10)&gt;PARAMETRES!$B$3)),"PRESENT","ABSENT"))</x:f>
      </x:c>
      <x:c r="I125" t="str">
        <x:f>IF(A125="","",IF(LEFT(D125,2)="22",PARAMETRES!$B$5,IF(LEFT(D125,2)="42",PARAMETRES!$B$6,IF(LEFT(D125,2)="45",PARAMETRES!$B$7,0))))</x:f>
      </x:c>
    </x:row>
    <x:row r="126">
      <x:c r="H126" t="str">
        <x:f>IF(OR(A126="",F126=""),"",IF(AND(B126=PARAMETRES!$B$2,LEFT(F126,10)&lt;=PARAMETRES!$B$3,OR(G126="",LEFT(G126,10)&gt;PARAMETRES!$B$3)),"PRESENT","ABSENT"))</x:f>
      </x:c>
      <x:c r="I126" t="str">
        <x:f>IF(A126="","",IF(LEFT(D126,2)="22",PARAMETRES!$B$5,IF(LEFT(D126,2)="42",PARAMETRES!$B$6,IF(LEFT(D126,2)="45",PARAMETRES!$B$7,0))))</x:f>
      </x:c>
    </x:row>
    <x:row r="127">
      <x:c r="H127" t="str">
        <x:f>IF(OR(A127="",F127=""),"",IF(AND(B127=PARAMETRES!$B$2,LEFT(F127,10)&lt;=PARAMETRES!$B$3,OR(G127="",LEFT(G127,10)&gt;PARAMETRES!$B$3)),"PRESENT","ABSENT"))</x:f>
      </x:c>
      <x:c r="I127" t="str">
        <x:f>IF(A127="","",IF(LEFT(D127,2)="22",PARAMETRES!$B$5,IF(LEFT(D127,2)="42",PARAMETRES!$B$6,IF(LEFT(D127,2)="45",PARAMETRES!$B$7,0))))</x:f>
      </x:c>
    </x:row>
    <x:row r="128">
      <x:c r="H128" t="str">
        <x:f>IF(OR(A128="",F128=""),"",IF(AND(B128=PARAMETRES!$B$2,LEFT(F128,10)&lt;=PARAMETRES!$B$3,OR(G128="",LEFT(G128,10)&gt;PARAMETRES!$B$3)),"PRESENT","ABSENT"))</x:f>
      </x:c>
      <x:c r="I128" t="str">
        <x:f>IF(A128="","",IF(LEFT(D128,2)="22",PARAMETRES!$B$5,IF(LEFT(D128,2)="42",PARAMETRES!$B$6,IF(LEFT(D128,2)="45",PARAMETRES!$B$7,0))))</x:f>
      </x:c>
    </x:row>
    <x:row r="129">
      <x:c r="H129" t="str">
        <x:f>IF(OR(A129="",F129=""),"",IF(AND(B129=PARAMETRES!$B$2,LEFT(F129,10)&lt;=PARAMETRES!$B$3,OR(G129="",LEFT(G129,10)&gt;PARAMETRES!$B$3)),"PRESENT","ABSENT"))</x:f>
      </x:c>
      <x:c r="I129" t="str">
        <x:f>IF(A129="","",IF(LEFT(D129,2)="22",PARAMETRES!$B$5,IF(LEFT(D129,2)="42",PARAMETRES!$B$6,IF(LEFT(D129,2)="45",PARAMETRES!$B$7,0))))</x:f>
      </x:c>
    </x:row>
    <x:row r="130">
      <x:c r="H130" t="str">
        <x:f>IF(OR(A130="",F130=""),"",IF(AND(B130=PARAMETRES!$B$2,LEFT(F130,10)&lt;=PARAMETRES!$B$3,OR(G130="",LEFT(G130,10)&gt;PARAMETRES!$B$3)),"PRESENT","ABSENT"))</x:f>
      </x:c>
      <x:c r="I130" t="str">
        <x:f>IF(A130="","",IF(LEFT(D130,2)="22",PARAMETRES!$B$5,IF(LEFT(D130,2)="42",PARAMETRES!$B$6,IF(LEFT(D130,2)="45",PARAMETRES!$B$7,0))))</x:f>
      </x:c>
    </x:row>
    <x:row r="131">
      <x:c r="H131" t="str">
        <x:f>IF(OR(A131="",F131=""),"",IF(AND(B131=PARAMETRES!$B$2,LEFT(F131,10)&lt;=PARAMETRES!$B$3,OR(G131="",LEFT(G131,10)&gt;PARAMETRES!$B$3)),"PRESENT","ABSENT"))</x:f>
      </x:c>
      <x:c r="I131" t="str">
        <x:f>IF(A131="","",IF(LEFT(D131,2)="22",PARAMETRES!$B$5,IF(LEFT(D131,2)="42",PARAMETRES!$B$6,IF(LEFT(D131,2)="45",PARAMETRES!$B$7,0))))</x:f>
      </x:c>
    </x:row>
    <x:row r="132">
      <x:c r="H132" t="str">
        <x:f>IF(OR(A132="",F132=""),"",IF(AND(B132=PARAMETRES!$B$2,LEFT(F132,10)&lt;=PARAMETRES!$B$3,OR(G132="",LEFT(G132,10)&gt;PARAMETRES!$B$3)),"PRESENT","ABSENT"))</x:f>
      </x:c>
      <x:c r="I132" t="str">
        <x:f>IF(A132="","",IF(LEFT(D132,2)="22",PARAMETRES!$B$5,IF(LEFT(D132,2)="42",PARAMETRES!$B$6,IF(LEFT(D132,2)="45",PARAMETRES!$B$7,0))))</x:f>
      </x:c>
    </x:row>
    <x:row r="133">
      <x:c r="H133" t="str">
        <x:f>IF(OR(A133="",F133=""),"",IF(AND(B133=PARAMETRES!$B$2,LEFT(F133,10)&lt;=PARAMETRES!$B$3,OR(G133="",LEFT(G133,10)&gt;PARAMETRES!$B$3)),"PRESENT","ABSENT"))</x:f>
      </x:c>
      <x:c r="I133" t="str">
        <x:f>IF(A133="","",IF(LEFT(D133,2)="22",PARAMETRES!$B$5,IF(LEFT(D133,2)="42",PARAMETRES!$B$6,IF(LEFT(D133,2)="45",PARAMETRES!$B$7,0))))</x:f>
      </x:c>
    </x:row>
    <x:row r="134">
      <x:c r="H134" t="str">
        <x:f>IF(OR(A134="",F134=""),"",IF(AND(B134=PARAMETRES!$B$2,LEFT(F134,10)&lt;=PARAMETRES!$B$3,OR(G134="",LEFT(G134,10)&gt;PARAMETRES!$B$3)),"PRESENT","ABSENT"))</x:f>
      </x:c>
      <x:c r="I134" t="str">
        <x:f>IF(A134="","",IF(LEFT(D134,2)="22",PARAMETRES!$B$5,IF(LEFT(D134,2)="42",PARAMETRES!$B$6,IF(LEFT(D134,2)="45",PARAMETRES!$B$7,0))))</x:f>
      </x:c>
    </x:row>
    <x:row r="135">
      <x:c r="H135" t="str">
        <x:f>IF(OR(A135="",F135=""),"",IF(AND(B135=PARAMETRES!$B$2,LEFT(F135,10)&lt;=PARAMETRES!$B$3,OR(G135="",LEFT(G135,10)&gt;PARAMETRES!$B$3)),"PRESENT","ABSENT"))</x:f>
      </x:c>
      <x:c r="I135" t="str">
        <x:f>IF(A135="","",IF(LEFT(D135,2)="22",PARAMETRES!$B$5,IF(LEFT(D135,2)="42",PARAMETRES!$B$6,IF(LEFT(D135,2)="45",PARAMETRES!$B$7,0))))</x:f>
      </x:c>
    </x:row>
    <x:row r="136">
      <x:c r="H136" t="str">
        <x:f>IF(OR(A136="",F136=""),"",IF(AND(B136=PARAMETRES!$B$2,LEFT(F136,10)&lt;=PARAMETRES!$B$3,OR(G136="",LEFT(G136,10)&gt;PARAMETRES!$B$3)),"PRESENT","ABSENT"))</x:f>
      </x:c>
      <x:c r="I136" t="str">
        <x:f>IF(A136="","",IF(LEFT(D136,2)="22",PARAMETRES!$B$5,IF(LEFT(D136,2)="42",PARAMETRES!$B$6,IF(LEFT(D136,2)="45",PARAMETRES!$B$7,0))))</x:f>
      </x:c>
    </x:row>
    <x:row r="137">
      <x:c r="H137" t="str">
        <x:f>IF(OR(A137="",F137=""),"",IF(AND(B137=PARAMETRES!$B$2,LEFT(F137,10)&lt;=PARAMETRES!$B$3,OR(G137="",LEFT(G137,10)&gt;PARAMETRES!$B$3)),"PRESENT","ABSENT"))</x:f>
      </x:c>
      <x:c r="I137" t="str">
        <x:f>IF(A137="","",IF(LEFT(D137,2)="22",PARAMETRES!$B$5,IF(LEFT(D137,2)="42",PARAMETRES!$B$6,IF(LEFT(D137,2)="45",PARAMETRES!$B$7,0))))</x:f>
      </x:c>
    </x:row>
    <x:row r="138">
      <x:c r="H138" t="str">
        <x:f>IF(OR(A138="",F138=""),"",IF(AND(B138=PARAMETRES!$B$2,LEFT(F138,10)&lt;=PARAMETRES!$B$3,OR(G138="",LEFT(G138,10)&gt;PARAMETRES!$B$3)),"PRESENT","ABSENT"))</x:f>
      </x:c>
      <x:c r="I138" t="str">
        <x:f>IF(A138="","",IF(LEFT(D138,2)="22",PARAMETRES!$B$5,IF(LEFT(D138,2)="42",PARAMETRES!$B$6,IF(LEFT(D138,2)="45",PARAMETRES!$B$7,0))))</x:f>
      </x:c>
    </x:row>
    <x:row r="139">
      <x:c r="H139" t="str">
        <x:f>IF(OR(A139="",F139=""),"",IF(AND(B139=PARAMETRES!$B$2,LEFT(F139,10)&lt;=PARAMETRES!$B$3,OR(G139="",LEFT(G139,10)&gt;PARAMETRES!$B$3)),"PRESENT","ABSENT"))</x:f>
      </x:c>
      <x:c r="I139" t="str">
        <x:f>IF(A139="","",IF(LEFT(D139,2)="22",PARAMETRES!$B$5,IF(LEFT(D139,2)="42",PARAMETRES!$B$6,IF(LEFT(D139,2)="45",PARAMETRES!$B$7,0))))</x:f>
      </x:c>
    </x:row>
    <x:row r="140">
      <x:c r="H140" t="str">
        <x:f>IF(OR(A140="",F140=""),"",IF(AND(B140=PARAMETRES!$B$2,LEFT(F140,10)&lt;=PARAMETRES!$B$3,OR(G140="",LEFT(G140,10)&gt;PARAMETRES!$B$3)),"PRESENT","ABSENT"))</x:f>
      </x:c>
      <x:c r="I140" t="str">
        <x:f>IF(A140="","",IF(LEFT(D140,2)="22",PARAMETRES!$B$5,IF(LEFT(D140,2)="42",PARAMETRES!$B$6,IF(LEFT(D140,2)="45",PARAMETRES!$B$7,0))))</x:f>
      </x:c>
    </x:row>
    <x:row r="141">
      <x:c r="H141" t="str">
        <x:f>IF(OR(A141="",F141=""),"",IF(AND(B141=PARAMETRES!$B$2,LEFT(F141,10)&lt;=PARAMETRES!$B$3,OR(G141="",LEFT(G141,10)&gt;PARAMETRES!$B$3)),"PRESENT","ABSENT"))</x:f>
      </x:c>
      <x:c r="I141" t="str">
        <x:f>IF(A141="","",IF(LEFT(D141,2)="22",PARAMETRES!$B$5,IF(LEFT(D141,2)="42",PARAMETRES!$B$6,IF(LEFT(D141,2)="45",PARAMETRES!$B$7,0))))</x:f>
      </x:c>
    </x:row>
    <x:row r="142">
      <x:c r="H142" t="str">
        <x:f>IF(OR(A142="",F142=""),"",IF(AND(B142=PARAMETRES!$B$2,LEFT(F142,10)&lt;=PARAMETRES!$B$3,OR(G142="",LEFT(G142,10)&gt;PARAMETRES!$B$3)),"PRESENT","ABSENT"))</x:f>
      </x:c>
      <x:c r="I142" t="str">
        <x:f>IF(A142="","",IF(LEFT(D142,2)="22",PARAMETRES!$B$5,IF(LEFT(D142,2)="42",PARAMETRES!$B$6,IF(LEFT(D142,2)="45",PARAMETRES!$B$7,0))))</x:f>
      </x:c>
    </x:row>
    <x:row r="143">
      <x:c r="H143" t="str">
        <x:f>IF(OR(A143="",F143=""),"",IF(AND(B143=PARAMETRES!$B$2,LEFT(F143,10)&lt;=PARAMETRES!$B$3,OR(G143="",LEFT(G143,10)&gt;PARAMETRES!$B$3)),"PRESENT","ABSENT"))</x:f>
      </x:c>
      <x:c r="I143" t="str">
        <x:f>IF(A143="","",IF(LEFT(D143,2)="22",PARAMETRES!$B$5,IF(LEFT(D143,2)="42",PARAMETRES!$B$6,IF(LEFT(D143,2)="45",PARAMETRES!$B$7,0))))</x:f>
      </x:c>
    </x:row>
    <x:row r="144">
      <x:c r="H144" t="str">
        <x:f>IF(OR(A144="",F144=""),"",IF(AND(B144=PARAMETRES!$B$2,LEFT(F144,10)&lt;=PARAMETRES!$B$3,OR(G144="",LEFT(G144,10)&gt;PARAMETRES!$B$3)),"PRESENT","ABSENT"))</x:f>
      </x:c>
      <x:c r="I144" t="str">
        <x:f>IF(A144="","",IF(LEFT(D144,2)="22",PARAMETRES!$B$5,IF(LEFT(D144,2)="42",PARAMETRES!$B$6,IF(LEFT(D144,2)="45",PARAMETRES!$B$7,0))))</x:f>
      </x:c>
    </x:row>
    <x:row r="145">
      <x:c r="H145" t="str">
        <x:f>IF(OR(A145="",F145=""),"",IF(AND(B145=PARAMETRES!$B$2,LEFT(F145,10)&lt;=PARAMETRES!$B$3,OR(G145="",LEFT(G145,10)&gt;PARAMETRES!$B$3)),"PRESENT","ABSENT"))</x:f>
      </x:c>
      <x:c r="I145" t="str">
        <x:f>IF(A145="","",IF(LEFT(D145,2)="22",PARAMETRES!$B$5,IF(LEFT(D145,2)="42",PARAMETRES!$B$6,IF(LEFT(D145,2)="45",PARAMETRES!$B$7,0))))</x:f>
      </x:c>
    </x:row>
    <x:row r="146">
      <x:c r="H146" t="str">
        <x:f>IF(OR(A146="",F146=""),"",IF(AND(B146=PARAMETRES!$B$2,LEFT(F146,10)&lt;=PARAMETRES!$B$3,OR(G146="",LEFT(G146,10)&gt;PARAMETRES!$B$3)),"PRESENT","ABSENT"))</x:f>
      </x:c>
      <x:c r="I146" t="str">
        <x:f>IF(A146="","",IF(LEFT(D146,2)="22",PARAMETRES!$B$5,IF(LEFT(D146,2)="42",PARAMETRES!$B$6,IF(LEFT(D146,2)="45",PARAMETRES!$B$7,0))))</x:f>
      </x:c>
    </x:row>
    <x:row r="147">
      <x:c r="H147" t="str">
        <x:f>IF(OR(A147="",F147=""),"",IF(AND(B147=PARAMETRES!$B$2,LEFT(F147,10)&lt;=PARAMETRES!$B$3,OR(G147="",LEFT(G147,10)&gt;PARAMETRES!$B$3)),"PRESENT","ABSENT"))</x:f>
      </x:c>
      <x:c r="I147" t="str">
        <x:f>IF(A147="","",IF(LEFT(D147,2)="22",PARAMETRES!$B$5,IF(LEFT(D147,2)="42",PARAMETRES!$B$6,IF(LEFT(D147,2)="45",PARAMETRES!$B$7,0))))</x:f>
      </x:c>
    </x:row>
    <x:row r="148">
      <x:c r="H148" t="str">
        <x:f>IF(OR(A148="",F148=""),"",IF(AND(B148=PARAMETRES!$B$2,LEFT(F148,10)&lt;=PARAMETRES!$B$3,OR(G148="",LEFT(G148,10)&gt;PARAMETRES!$B$3)),"PRESENT","ABSENT"))</x:f>
      </x:c>
      <x:c r="I148" t="str">
        <x:f>IF(A148="","",IF(LEFT(D148,2)="22",PARAMETRES!$B$5,IF(LEFT(D148,2)="42",PARAMETRES!$B$6,IF(LEFT(D148,2)="45",PARAMETRES!$B$7,0))))</x:f>
      </x:c>
    </x:row>
    <x:row r="149">
      <x:c r="H149" t="str">
        <x:f>IF(OR(A149="",F149=""),"",IF(AND(B149=PARAMETRES!$B$2,LEFT(F149,10)&lt;=PARAMETRES!$B$3,OR(G149="",LEFT(G149,10)&gt;PARAMETRES!$B$3)),"PRESENT","ABSENT"))</x:f>
      </x:c>
      <x:c r="I149" t="str">
        <x:f>IF(A149="","",IF(LEFT(D149,2)="22",PARAMETRES!$B$5,IF(LEFT(D149,2)="42",PARAMETRES!$B$6,IF(LEFT(D149,2)="45",PARAMETRES!$B$7,0))))</x:f>
      </x:c>
    </x:row>
    <x:row r="150">
      <x:c r="H150" t="str">
        <x:f>IF(OR(A150="",F150=""),"",IF(AND(B150=PARAMETRES!$B$2,LEFT(F150,10)&lt;=PARAMETRES!$B$3,OR(G150="",LEFT(G150,10)&gt;PARAMETRES!$B$3)),"PRESENT","ABSENT"))</x:f>
      </x:c>
      <x:c r="I150" t="str">
        <x:f>IF(A150="","",IF(LEFT(D150,2)="22",PARAMETRES!$B$5,IF(LEFT(D150,2)="42",PARAMETRES!$B$6,IF(LEFT(D150,2)="45",PARAMETRES!$B$7,0))))</x:f>
      </x:c>
    </x:row>
    <x:row r="151">
      <x:c r="H151" t="str">
        <x:f>IF(OR(A151="",F151=""),"",IF(AND(B151=PARAMETRES!$B$2,LEFT(F151,10)&lt;=PARAMETRES!$B$3,OR(G151="",LEFT(G151,10)&gt;PARAMETRES!$B$3)),"PRESENT","ABSENT"))</x:f>
      </x:c>
      <x:c r="I151" t="str">
        <x:f>IF(A151="","",IF(LEFT(D151,2)="22",PARAMETRES!$B$5,IF(LEFT(D151,2)="42",PARAMETRES!$B$6,IF(LEFT(D151,2)="45",PARAMETRES!$B$7,0))))</x:f>
      </x:c>
    </x:row>
    <x:row r="152">
      <x:c r="H152" t="str">
        <x:f>IF(OR(A152="",F152=""),"",IF(AND(B152=PARAMETRES!$B$2,LEFT(F152,10)&lt;=PARAMETRES!$B$3,OR(G152="",LEFT(G152,10)&gt;PARAMETRES!$B$3)),"PRESENT","ABSENT"))</x:f>
      </x:c>
      <x:c r="I152" t="str">
        <x:f>IF(A152="","",IF(LEFT(D152,2)="22",PARAMETRES!$B$5,IF(LEFT(D152,2)="42",PARAMETRES!$B$6,IF(LEFT(D152,2)="45",PARAMETRES!$B$7,0))))</x:f>
      </x:c>
    </x:row>
    <x:row r="153">
      <x:c r="H153" t="str">
        <x:f>IF(OR(A153="",F153=""),"",IF(AND(B153=PARAMETRES!$B$2,LEFT(F153,10)&lt;=PARAMETRES!$B$3,OR(G153="",LEFT(G153,10)&gt;PARAMETRES!$B$3)),"PRESENT","ABSENT"))</x:f>
      </x:c>
      <x:c r="I153" t="str">
        <x:f>IF(A153="","",IF(LEFT(D153,2)="22",PARAMETRES!$B$5,IF(LEFT(D153,2)="42",PARAMETRES!$B$6,IF(LEFT(D153,2)="45",PARAMETRES!$B$7,0))))</x:f>
      </x:c>
    </x:row>
    <x:row r="154">
      <x:c r="H154" t="str">
        <x:f>IF(OR(A154="",F154=""),"",IF(AND(B154=PARAMETRES!$B$2,LEFT(F154,10)&lt;=PARAMETRES!$B$3,OR(G154="",LEFT(G154,10)&gt;PARAMETRES!$B$3)),"PRESENT","ABSENT"))</x:f>
      </x:c>
      <x:c r="I154" t="str">
        <x:f>IF(A154="","",IF(LEFT(D154,2)="22",PARAMETRES!$B$5,IF(LEFT(D154,2)="42",PARAMETRES!$B$6,IF(LEFT(D154,2)="45",PARAMETRES!$B$7,0))))</x:f>
      </x:c>
    </x:row>
    <x:row r="155">
      <x:c r="H155" t="str">
        <x:f>IF(OR(A155="",F155=""),"",IF(AND(B155=PARAMETRES!$B$2,LEFT(F155,10)&lt;=PARAMETRES!$B$3,OR(G155="",LEFT(G155,10)&gt;PARAMETRES!$B$3)),"PRESENT","ABSENT"))</x:f>
      </x:c>
      <x:c r="I155" t="str">
        <x:f>IF(A155="","",IF(LEFT(D155,2)="22",PARAMETRES!$B$5,IF(LEFT(D155,2)="42",PARAMETRES!$B$6,IF(LEFT(D155,2)="45",PARAMETRES!$B$7,0))))</x:f>
      </x:c>
    </x:row>
    <x:row r="156">
      <x:c r="H156" t="str">
        <x:f>IF(OR(A156="",F156=""),"",IF(AND(B156=PARAMETRES!$B$2,LEFT(F156,10)&lt;=PARAMETRES!$B$3,OR(G156="",LEFT(G156,10)&gt;PARAMETRES!$B$3)),"PRESENT","ABSENT"))</x:f>
      </x:c>
      <x:c r="I156" t="str">
        <x:f>IF(A156="","",IF(LEFT(D156,2)="22",PARAMETRES!$B$5,IF(LEFT(D156,2)="42",PARAMETRES!$B$6,IF(LEFT(D156,2)="45",PARAMETRES!$B$7,0))))</x:f>
      </x:c>
    </x:row>
    <x:row r="157">
      <x:c r="H157" t="str">
        <x:f>IF(OR(A157="",F157=""),"",IF(AND(B157=PARAMETRES!$B$2,LEFT(F157,10)&lt;=PARAMETRES!$B$3,OR(G157="",LEFT(G157,10)&gt;PARAMETRES!$B$3)),"PRESENT","ABSENT"))</x:f>
      </x:c>
      <x:c r="I157" t="str">
        <x:f>IF(A157="","",IF(LEFT(D157,2)="22",PARAMETRES!$B$5,IF(LEFT(D157,2)="42",PARAMETRES!$B$6,IF(LEFT(D157,2)="45",PARAMETRES!$B$7,0))))</x:f>
      </x:c>
    </x:row>
    <x:row r="158">
      <x:c r="H158" t="str">
        <x:f>IF(OR(A158="",F158=""),"",IF(AND(B158=PARAMETRES!$B$2,LEFT(F158,10)&lt;=PARAMETRES!$B$3,OR(G158="",LEFT(G158,10)&gt;PARAMETRES!$B$3)),"PRESENT","ABSENT"))</x:f>
      </x:c>
      <x:c r="I158" t="str">
        <x:f>IF(A158="","",IF(LEFT(D158,2)="22",PARAMETRES!$B$5,IF(LEFT(D158,2)="42",PARAMETRES!$B$6,IF(LEFT(D158,2)="45",PARAMETRES!$B$7,0))))</x:f>
      </x:c>
    </x:row>
    <x:row r="159">
      <x:c r="H159" t="str">
        <x:f>IF(OR(A159="",F159=""),"",IF(AND(B159=PARAMETRES!$B$2,LEFT(F159,10)&lt;=PARAMETRES!$B$3,OR(G159="",LEFT(G159,10)&gt;PARAMETRES!$B$3)),"PRESENT","ABSENT"))</x:f>
      </x:c>
      <x:c r="I159" t="str">
        <x:f>IF(A159="","",IF(LEFT(D159,2)="22",PARAMETRES!$B$5,IF(LEFT(D159,2)="42",PARAMETRES!$B$6,IF(LEFT(D159,2)="45",PARAMETRES!$B$7,0))))</x:f>
      </x:c>
    </x:row>
    <x:row r="160">
      <x:c r="H160" t="str">
        <x:f>IF(OR(A160="",F160=""),"",IF(AND(B160=PARAMETRES!$B$2,LEFT(F160,10)&lt;=PARAMETRES!$B$3,OR(G160="",LEFT(G160,10)&gt;PARAMETRES!$B$3)),"PRESENT","ABSENT"))</x:f>
      </x:c>
      <x:c r="I160" t="str">
        <x:f>IF(A160="","",IF(LEFT(D160,2)="22",PARAMETRES!$B$5,IF(LEFT(D160,2)="42",PARAMETRES!$B$6,IF(LEFT(D160,2)="45",PARAMETRES!$B$7,0))))</x:f>
      </x:c>
    </x:row>
    <x:row r="161">
      <x:c r="H161" t="str">
        <x:f>IF(OR(A161="",F161=""),"",IF(AND(B161=PARAMETRES!$B$2,LEFT(F161,10)&lt;=PARAMETRES!$B$3,OR(G161="",LEFT(G161,10)&gt;PARAMETRES!$B$3)),"PRESENT","ABSENT"))</x:f>
      </x:c>
      <x:c r="I161" t="str">
        <x:f>IF(A161="","",IF(LEFT(D161,2)="22",PARAMETRES!$B$5,IF(LEFT(D161,2)="42",PARAMETRES!$B$6,IF(LEFT(D161,2)="45",PARAMETRES!$B$7,0))))</x:f>
      </x:c>
    </x:row>
    <x:row r="162">
      <x:c r="H162" t="str">
        <x:f>IF(OR(A162="",F162=""),"",IF(AND(B162=PARAMETRES!$B$2,LEFT(F162,10)&lt;=PARAMETRES!$B$3,OR(G162="",LEFT(G162,10)&gt;PARAMETRES!$B$3)),"PRESENT","ABSENT"))</x:f>
      </x:c>
      <x:c r="I162" t="str">
        <x:f>IF(A162="","",IF(LEFT(D162,2)="22",PARAMETRES!$B$5,IF(LEFT(D162,2)="42",PARAMETRES!$B$6,IF(LEFT(D162,2)="45",PARAMETRES!$B$7,0))))</x:f>
      </x:c>
    </x:row>
    <x:row r="163">
      <x:c r="H163" t="str">
        <x:f>IF(OR(A163="",F163=""),"",IF(AND(B163=PARAMETRES!$B$2,LEFT(F163,10)&lt;=PARAMETRES!$B$3,OR(G163="",LEFT(G163,10)&gt;PARAMETRES!$B$3)),"PRESENT","ABSENT"))</x:f>
      </x:c>
      <x:c r="I163" t="str">
        <x:f>IF(A163="","",IF(LEFT(D163,2)="22",PARAMETRES!$B$5,IF(LEFT(D163,2)="42",PARAMETRES!$B$6,IF(LEFT(D163,2)="45",PARAMETRES!$B$7,0))))</x:f>
      </x:c>
    </x:row>
    <x:row r="164">
      <x:c r="H164" t="str">
        <x:f>IF(OR(A164="",F164=""),"",IF(AND(B164=PARAMETRES!$B$2,LEFT(F164,10)&lt;=PARAMETRES!$B$3,OR(G164="",LEFT(G164,10)&gt;PARAMETRES!$B$3)),"PRESENT","ABSENT"))</x:f>
      </x:c>
      <x:c r="I164" t="str">
        <x:f>IF(A164="","",IF(LEFT(D164,2)="22",PARAMETRES!$B$5,IF(LEFT(D164,2)="42",PARAMETRES!$B$6,IF(LEFT(D164,2)="45",PARAMETRES!$B$7,0))))</x:f>
      </x:c>
    </x:row>
    <x:row r="165">
      <x:c r="H165" t="str">
        <x:f>IF(OR(A165="",F165=""),"",IF(AND(B165=PARAMETRES!$B$2,LEFT(F165,10)&lt;=PARAMETRES!$B$3,OR(G165="",LEFT(G165,10)&gt;PARAMETRES!$B$3)),"PRESENT","ABSENT"))</x:f>
      </x:c>
      <x:c r="I165" t="str">
        <x:f>IF(A165="","",IF(LEFT(D165,2)="22",PARAMETRES!$B$5,IF(LEFT(D165,2)="42",PARAMETRES!$B$6,IF(LEFT(D165,2)="45",PARAMETRES!$B$7,0))))</x:f>
      </x:c>
    </x:row>
    <x:row r="166">
      <x:c r="H166" t="str">
        <x:f>IF(OR(A166="",F166=""),"",IF(AND(B166=PARAMETRES!$B$2,LEFT(F166,10)&lt;=PARAMETRES!$B$3,OR(G166="",LEFT(G166,10)&gt;PARAMETRES!$B$3)),"PRESENT","ABSENT"))</x:f>
      </x:c>
      <x:c r="I166" t="str">
        <x:f>IF(A166="","",IF(LEFT(D166,2)="22",PARAMETRES!$B$5,IF(LEFT(D166,2)="42",PARAMETRES!$B$6,IF(LEFT(D166,2)="45",PARAMETRES!$B$7,0))))</x:f>
      </x:c>
    </x:row>
    <x:row r="167">
      <x:c r="H167" t="str">
        <x:f>IF(OR(A167="",F167=""),"",IF(AND(B167=PARAMETRES!$B$2,LEFT(F167,10)&lt;=PARAMETRES!$B$3,OR(G167="",LEFT(G167,10)&gt;PARAMETRES!$B$3)),"PRESENT","ABSENT"))</x:f>
      </x:c>
      <x:c r="I167" t="str">
        <x:f>IF(A167="","",IF(LEFT(D167,2)="22",PARAMETRES!$B$5,IF(LEFT(D167,2)="42",PARAMETRES!$B$6,IF(LEFT(D167,2)="45",PARAMETRES!$B$7,0))))</x:f>
      </x:c>
    </x:row>
    <x:row r="168">
      <x:c r="H168" t="str">
        <x:f>IF(OR(A168="",F168=""),"",IF(AND(B168=PARAMETRES!$B$2,LEFT(F168,10)&lt;=PARAMETRES!$B$3,OR(G168="",LEFT(G168,10)&gt;PARAMETRES!$B$3)),"PRESENT","ABSENT"))</x:f>
      </x:c>
      <x:c r="I168" t="str">
        <x:f>IF(A168="","",IF(LEFT(D168,2)="22",PARAMETRES!$B$5,IF(LEFT(D168,2)="42",PARAMETRES!$B$6,IF(LEFT(D168,2)="45",PARAMETRES!$B$7,0))))</x:f>
      </x:c>
    </x:row>
    <x:row r="169">
      <x:c r="H169" t="str">
        <x:f>IF(OR(A169="",F169=""),"",IF(AND(B169=PARAMETRES!$B$2,LEFT(F169,10)&lt;=PARAMETRES!$B$3,OR(G169="",LEFT(G169,10)&gt;PARAMETRES!$B$3)),"PRESENT","ABSENT"))</x:f>
      </x:c>
      <x:c r="I169" t="str">
        <x:f>IF(A169="","",IF(LEFT(D169,2)="22",PARAMETRES!$B$5,IF(LEFT(D169,2)="42",PARAMETRES!$B$6,IF(LEFT(D169,2)="45",PARAMETRES!$B$7,0))))</x:f>
      </x:c>
    </x:row>
    <x:row r="170">
      <x:c r="H170" t="str">
        <x:f>IF(OR(A170="",F170=""),"",IF(AND(B170=PARAMETRES!$B$2,LEFT(F170,10)&lt;=PARAMETRES!$B$3,OR(G170="",LEFT(G170,10)&gt;PARAMETRES!$B$3)),"PRESENT","ABSENT"))</x:f>
      </x:c>
      <x:c r="I170" t="str">
        <x:f>IF(A170="","",IF(LEFT(D170,2)="22",PARAMETRES!$B$5,IF(LEFT(D170,2)="42",PARAMETRES!$B$6,IF(LEFT(D170,2)="45",PARAMETRES!$B$7,0))))</x:f>
      </x:c>
    </x:row>
    <x:row r="171">
      <x:c r="H171" t="str">
        <x:f>IF(OR(A171="",F171=""),"",IF(AND(B171=PARAMETRES!$B$2,LEFT(F171,10)&lt;=PARAMETRES!$B$3,OR(G171="",LEFT(G171,10)&gt;PARAMETRES!$B$3)),"PRESENT","ABSENT"))</x:f>
      </x:c>
      <x:c r="I171" t="str">
        <x:f>IF(A171="","",IF(LEFT(D171,2)="22",PARAMETRES!$B$5,IF(LEFT(D171,2)="42",PARAMETRES!$B$6,IF(LEFT(D171,2)="45",PARAMETRES!$B$7,0))))</x:f>
      </x:c>
    </x:row>
    <x:row r="172">
      <x:c r="H172" t="str">
        <x:f>IF(OR(A172="",F172=""),"",IF(AND(B172=PARAMETRES!$B$2,LEFT(F172,10)&lt;=PARAMETRES!$B$3,OR(G172="",LEFT(G172,10)&gt;PARAMETRES!$B$3)),"PRESENT","ABSENT"))</x:f>
      </x:c>
      <x:c r="I172" t="str">
        <x:f>IF(A172="","",IF(LEFT(D172,2)="22",PARAMETRES!$B$5,IF(LEFT(D172,2)="42",PARAMETRES!$B$6,IF(LEFT(D172,2)="45",PARAMETRES!$B$7,0))))</x:f>
      </x:c>
    </x:row>
    <x:row r="173">
      <x:c r="H173" t="str">
        <x:f>IF(OR(A173="",F173=""),"",IF(AND(B173=PARAMETRES!$B$2,LEFT(F173,10)&lt;=PARAMETRES!$B$3,OR(G173="",LEFT(G173,10)&gt;PARAMETRES!$B$3)),"PRESENT","ABSENT"))</x:f>
      </x:c>
      <x:c r="I173" t="str">
        <x:f>IF(A173="","",IF(LEFT(D173,2)="22",PARAMETRES!$B$5,IF(LEFT(D173,2)="42",PARAMETRES!$B$6,IF(LEFT(D173,2)="45",PARAMETRES!$B$7,0))))</x:f>
      </x:c>
    </x:row>
    <x:row r="174">
      <x:c r="H174" t="str">
        <x:f>IF(OR(A174="",F174=""),"",IF(AND(B174=PARAMETRES!$B$2,LEFT(F174,10)&lt;=PARAMETRES!$B$3,OR(G174="",LEFT(G174,10)&gt;PARAMETRES!$B$3)),"PRESENT","ABSENT"))</x:f>
      </x:c>
      <x:c r="I174" t="str">
        <x:f>IF(A174="","",IF(LEFT(D174,2)="22",PARAMETRES!$B$5,IF(LEFT(D174,2)="42",PARAMETRES!$B$6,IF(LEFT(D174,2)="45",PARAMETRES!$B$7,0))))</x:f>
      </x:c>
    </x:row>
    <x:row r="175">
      <x:c r="H175" t="str">
        <x:f>IF(OR(A175="",F175=""),"",IF(AND(B175=PARAMETRES!$B$2,LEFT(F175,10)&lt;=PARAMETRES!$B$3,OR(G175="",LEFT(G175,10)&gt;PARAMETRES!$B$3)),"PRESENT","ABSENT"))</x:f>
      </x:c>
      <x:c r="I175" t="str">
        <x:f>IF(A175="","",IF(LEFT(D175,2)="22",PARAMETRES!$B$5,IF(LEFT(D175,2)="42",PARAMETRES!$B$6,IF(LEFT(D175,2)="45",PARAMETRES!$B$7,0))))</x:f>
      </x:c>
    </x:row>
    <x:row r="176">
      <x:c r="H176" t="str">
        <x:f>IF(OR(A176="",F176=""),"",IF(AND(B176=PARAMETRES!$B$2,LEFT(F176,10)&lt;=PARAMETRES!$B$3,OR(G176="",LEFT(G176,10)&gt;PARAMETRES!$B$3)),"PRESENT","ABSENT"))</x:f>
      </x:c>
      <x:c r="I176" t="str">
        <x:f>IF(A176="","",IF(LEFT(D176,2)="22",PARAMETRES!$B$5,IF(LEFT(D176,2)="42",PARAMETRES!$B$6,IF(LEFT(D176,2)="45",PARAMETRES!$B$7,0))))</x:f>
      </x:c>
    </x:row>
    <x:row r="177">
      <x:c r="H177" t="str">
        <x:f>IF(OR(A177="",F177=""),"",IF(AND(B177=PARAMETRES!$B$2,LEFT(F177,10)&lt;=PARAMETRES!$B$3,OR(G177="",LEFT(G177,10)&gt;PARAMETRES!$B$3)),"PRESENT","ABSENT"))</x:f>
      </x:c>
      <x:c r="I177" t="str">
        <x:f>IF(A177="","",IF(LEFT(D177,2)="22",PARAMETRES!$B$5,IF(LEFT(D177,2)="42",PARAMETRES!$B$6,IF(LEFT(D177,2)="45",PARAMETRES!$B$7,0))))</x:f>
      </x:c>
    </x:row>
    <x:row r="178">
      <x:c r="H178" t="str">
        <x:f>IF(OR(A178="",F178=""),"",IF(AND(B178=PARAMETRES!$B$2,LEFT(F178,10)&lt;=PARAMETRES!$B$3,OR(G178="",LEFT(G178,10)&gt;PARAMETRES!$B$3)),"PRESENT","ABSENT"))</x:f>
      </x:c>
      <x:c r="I178" t="str">
        <x:f>IF(A178="","",IF(LEFT(D178,2)="22",PARAMETRES!$B$5,IF(LEFT(D178,2)="42",PARAMETRES!$B$6,IF(LEFT(D178,2)="45",PARAMETRES!$B$7,0))))</x:f>
      </x:c>
    </x:row>
    <x:row r="179">
      <x:c r="H179" t="str">
        <x:f>IF(OR(A179="",F179=""),"",IF(AND(B179=PARAMETRES!$B$2,LEFT(F179,10)&lt;=PARAMETRES!$B$3,OR(G179="",LEFT(G179,10)&gt;PARAMETRES!$B$3)),"PRESENT","ABSENT"))</x:f>
      </x:c>
      <x:c r="I179" t="str">
        <x:f>IF(A179="","",IF(LEFT(D179,2)="22",PARAMETRES!$B$5,IF(LEFT(D179,2)="42",PARAMETRES!$B$6,IF(LEFT(D179,2)="45",PARAMETRES!$B$7,0))))</x:f>
      </x:c>
    </x:row>
    <x:row r="180">
      <x:c r="H180" t="str">
        <x:f>IF(OR(A180="",F180=""),"",IF(AND(B180=PARAMETRES!$B$2,LEFT(F180,10)&lt;=PARAMETRES!$B$3,OR(G180="",LEFT(G180,10)&gt;PARAMETRES!$B$3)),"PRESENT","ABSENT"))</x:f>
      </x:c>
      <x:c r="I180" t="str">
        <x:f>IF(A180="","",IF(LEFT(D180,2)="22",PARAMETRES!$B$5,IF(LEFT(D180,2)="42",PARAMETRES!$B$6,IF(LEFT(D180,2)="45",PARAMETRES!$B$7,0))))</x:f>
      </x:c>
    </x:row>
    <x:row r="181">
      <x:c r="H181" t="str">
        <x:f>IF(OR(A181="",F181=""),"",IF(AND(B181=PARAMETRES!$B$2,LEFT(F181,10)&lt;=PARAMETRES!$B$3,OR(G181="",LEFT(G181,10)&gt;PARAMETRES!$B$3)),"PRESENT","ABSENT"))</x:f>
      </x:c>
      <x:c r="I181" t="str">
        <x:f>IF(A181="","",IF(LEFT(D181,2)="22",PARAMETRES!$B$5,IF(LEFT(D181,2)="42",PARAMETRES!$B$6,IF(LEFT(D181,2)="45",PARAMETRES!$B$7,0))))</x:f>
      </x:c>
    </x:row>
    <x:row r="182">
      <x:c r="H182" t="str">
        <x:f>IF(OR(A182="",F182=""),"",IF(AND(B182=PARAMETRES!$B$2,LEFT(F182,10)&lt;=PARAMETRES!$B$3,OR(G182="",LEFT(G182,10)&gt;PARAMETRES!$B$3)),"PRESENT","ABSENT"))</x:f>
      </x:c>
      <x:c r="I182" t="str">
        <x:f>IF(A182="","",IF(LEFT(D182,2)="22",PARAMETRES!$B$5,IF(LEFT(D182,2)="42",PARAMETRES!$B$6,IF(LEFT(D182,2)="45",PARAMETRES!$B$7,0))))</x:f>
      </x:c>
    </x:row>
    <x:row r="183">
      <x:c r="H183" t="str">
        <x:f>IF(OR(A183="",F183=""),"",IF(AND(B183=PARAMETRES!$B$2,LEFT(F183,10)&lt;=PARAMETRES!$B$3,OR(G183="",LEFT(G183,10)&gt;PARAMETRES!$B$3)),"PRESENT","ABSENT"))</x:f>
      </x:c>
      <x:c r="I183" t="str">
        <x:f>IF(A183="","",IF(LEFT(D183,2)="22",PARAMETRES!$B$5,IF(LEFT(D183,2)="42",PARAMETRES!$B$6,IF(LEFT(D183,2)="45",PARAMETRES!$B$7,0))))</x:f>
      </x:c>
    </x:row>
    <x:row r="184">
      <x:c r="H184" t="str">
        <x:f>IF(OR(A184="",F184=""),"",IF(AND(B184=PARAMETRES!$B$2,LEFT(F184,10)&lt;=PARAMETRES!$B$3,OR(G184="",LEFT(G184,10)&gt;PARAMETRES!$B$3)),"PRESENT","ABSENT"))</x:f>
      </x:c>
      <x:c r="I184" t="str">
        <x:f>IF(A184="","",IF(LEFT(D184,2)="22",PARAMETRES!$B$5,IF(LEFT(D184,2)="42",PARAMETRES!$B$6,IF(LEFT(D184,2)="45",PARAMETRES!$B$7,0))))</x:f>
      </x:c>
    </x:row>
    <x:row r="185">
      <x:c r="H185" t="str">
        <x:f>IF(OR(A185="",F185=""),"",IF(AND(B185=PARAMETRES!$B$2,LEFT(F185,10)&lt;=PARAMETRES!$B$3,OR(G185="",LEFT(G185,10)&gt;PARAMETRES!$B$3)),"PRESENT","ABSENT"))</x:f>
      </x:c>
      <x:c r="I185" t="str">
        <x:f>IF(A185="","",IF(LEFT(D185,2)="22",PARAMETRES!$B$5,IF(LEFT(D185,2)="42",PARAMETRES!$B$6,IF(LEFT(D185,2)="45",PARAMETRES!$B$7,0))))</x:f>
      </x:c>
    </x:row>
    <x:row r="186">
      <x:c r="H186" t="str">
        <x:f>IF(OR(A186="",F186=""),"",IF(AND(B186=PARAMETRES!$B$2,LEFT(F186,10)&lt;=PARAMETRES!$B$3,OR(G186="",LEFT(G186,10)&gt;PARAMETRES!$B$3)),"PRESENT","ABSENT"))</x:f>
      </x:c>
      <x:c r="I186" t="str">
        <x:f>IF(A186="","",IF(LEFT(D186,2)="22",PARAMETRES!$B$5,IF(LEFT(D186,2)="42",PARAMETRES!$B$6,IF(LEFT(D186,2)="45",PARAMETRES!$B$7,0))))</x:f>
      </x:c>
    </x:row>
    <x:row r="187">
      <x:c r="H187" t="str">
        <x:f>IF(OR(A187="",F187=""),"",IF(AND(B187=PARAMETRES!$B$2,LEFT(F187,10)&lt;=PARAMETRES!$B$3,OR(G187="",LEFT(G187,10)&gt;PARAMETRES!$B$3)),"PRESENT","ABSENT"))</x:f>
      </x:c>
      <x:c r="I187" t="str">
        <x:f>IF(A187="","",IF(LEFT(D187,2)="22",PARAMETRES!$B$5,IF(LEFT(D187,2)="42",PARAMETRES!$B$6,IF(LEFT(D187,2)="45",PARAMETRES!$B$7,0))))</x:f>
      </x:c>
    </x:row>
    <x:row r="188">
      <x:c r="H188" t="str">
        <x:f>IF(OR(A188="",F188=""),"",IF(AND(B188=PARAMETRES!$B$2,LEFT(F188,10)&lt;=PARAMETRES!$B$3,OR(G188="",LEFT(G188,10)&gt;PARAMETRES!$B$3)),"PRESENT","ABSENT"))</x:f>
      </x:c>
      <x:c r="I188" t="str">
        <x:f>IF(A188="","",IF(LEFT(D188,2)="22",PARAMETRES!$B$5,IF(LEFT(D188,2)="42",PARAMETRES!$B$6,IF(LEFT(D188,2)="45",PARAMETRES!$B$7,0))))</x:f>
      </x:c>
    </x:row>
    <x:row r="189">
      <x:c r="H189" t="str">
        <x:f>IF(OR(A189="",F189=""),"",IF(AND(B189=PARAMETRES!$B$2,LEFT(F189,10)&lt;=PARAMETRES!$B$3,OR(G189="",LEFT(G189,10)&gt;PARAMETRES!$B$3)),"PRESENT","ABSENT"))</x:f>
      </x:c>
      <x:c r="I189" t="str">
        <x:f>IF(A189="","",IF(LEFT(D189,2)="22",PARAMETRES!$B$5,IF(LEFT(D189,2)="42",PARAMETRES!$B$6,IF(LEFT(D189,2)="45",PARAMETRES!$B$7,0))))</x:f>
      </x:c>
    </x:row>
    <x:row r="190">
      <x:c r="H190" t="str">
        <x:f>IF(OR(A190="",F190=""),"",IF(AND(B190=PARAMETRES!$B$2,LEFT(F190,10)&lt;=PARAMETRES!$B$3,OR(G190="",LEFT(G190,10)&gt;PARAMETRES!$B$3)),"PRESENT","ABSENT"))</x:f>
      </x:c>
      <x:c r="I190" t="str">
        <x:f>IF(A190="","",IF(LEFT(D190,2)="22",PARAMETRES!$B$5,IF(LEFT(D190,2)="42",PARAMETRES!$B$6,IF(LEFT(D190,2)="45",PARAMETRES!$B$7,0))))</x:f>
      </x:c>
    </x:row>
    <x:row r="191">
      <x:c r="H191" t="str">
        <x:f>IF(OR(A191="",F191=""),"",IF(AND(B191=PARAMETRES!$B$2,LEFT(F191,10)&lt;=PARAMETRES!$B$3,OR(G191="",LEFT(G191,10)&gt;PARAMETRES!$B$3)),"PRESENT","ABSENT"))</x:f>
      </x:c>
      <x:c r="I191" t="str">
        <x:f>IF(A191="","",IF(LEFT(D191,2)="22",PARAMETRES!$B$5,IF(LEFT(D191,2)="42",PARAMETRES!$B$6,IF(LEFT(D191,2)="45",PARAMETRES!$B$7,0))))</x:f>
      </x:c>
    </x:row>
    <x:row r="192">
      <x:c r="H192" t="str">
        <x:f>IF(OR(A192="",F192=""),"",IF(AND(B192=PARAMETRES!$B$2,LEFT(F192,10)&lt;=PARAMETRES!$B$3,OR(G192="",LEFT(G192,10)&gt;PARAMETRES!$B$3)),"PRESENT","ABSENT"))</x:f>
      </x:c>
      <x:c r="I192" t="str">
        <x:f>IF(A192="","",IF(LEFT(D192,2)="22",PARAMETRES!$B$5,IF(LEFT(D192,2)="42",PARAMETRES!$B$6,IF(LEFT(D192,2)="45",PARAMETRES!$B$7,0))))</x:f>
      </x:c>
    </x:row>
    <x:row r="193">
      <x:c r="H193" t="str">
        <x:f>IF(OR(A193="",F193=""),"",IF(AND(B193=PARAMETRES!$B$2,LEFT(F193,10)&lt;=PARAMETRES!$B$3,OR(G193="",LEFT(G193,10)&gt;PARAMETRES!$B$3)),"PRESENT","ABSENT"))</x:f>
      </x:c>
      <x:c r="I193" t="str">
        <x:f>IF(A193="","",IF(LEFT(D193,2)="22",PARAMETRES!$B$5,IF(LEFT(D193,2)="42",PARAMETRES!$B$6,IF(LEFT(D193,2)="45",PARAMETRES!$B$7,0))))</x:f>
      </x:c>
    </x:row>
    <x:row r="194">
      <x:c r="H194" t="str">
        <x:f>IF(OR(A194="",F194=""),"",IF(AND(B194=PARAMETRES!$B$2,LEFT(F194,10)&lt;=PARAMETRES!$B$3,OR(G194="",LEFT(G194,10)&gt;PARAMETRES!$B$3)),"PRESENT","ABSENT"))</x:f>
      </x:c>
      <x:c r="I194" t="str">
        <x:f>IF(A194="","",IF(LEFT(D194,2)="22",PARAMETRES!$B$5,IF(LEFT(D194,2)="42",PARAMETRES!$B$6,IF(LEFT(D194,2)="45",PARAMETRES!$B$7,0))))</x:f>
      </x:c>
    </x:row>
    <x:row r="195">
      <x:c r="H195" t="str">
        <x:f>IF(OR(A195="",F195=""),"",IF(AND(B195=PARAMETRES!$B$2,LEFT(F195,10)&lt;=PARAMETRES!$B$3,OR(G195="",LEFT(G195,10)&gt;PARAMETRES!$B$3)),"PRESENT","ABSENT"))</x:f>
      </x:c>
      <x:c r="I195" t="str">
        <x:f>IF(A195="","",IF(LEFT(D195,2)="22",PARAMETRES!$B$5,IF(LEFT(D195,2)="42",PARAMETRES!$B$6,IF(LEFT(D195,2)="45",PARAMETRES!$B$7,0))))</x:f>
      </x:c>
    </x:row>
    <x:row r="196">
      <x:c r="H196" t="str">
        <x:f>IF(OR(A196="",F196=""),"",IF(AND(B196=PARAMETRES!$B$2,LEFT(F196,10)&lt;=PARAMETRES!$B$3,OR(G196="",LEFT(G196,10)&gt;PARAMETRES!$B$3)),"PRESENT","ABSENT"))</x:f>
      </x:c>
      <x:c r="I196" t="str">
        <x:f>IF(A196="","",IF(LEFT(D196,2)="22",PARAMETRES!$B$5,IF(LEFT(D196,2)="42",PARAMETRES!$B$6,IF(LEFT(D196,2)="45",PARAMETRES!$B$7,0))))</x:f>
      </x:c>
    </x:row>
    <x:row r="197">
      <x:c r="H197" t="str">
        <x:f>IF(OR(A197="",F197=""),"",IF(AND(B197=PARAMETRES!$B$2,LEFT(F197,10)&lt;=PARAMETRES!$B$3,OR(G197="",LEFT(G197,10)&gt;PARAMETRES!$B$3)),"PRESENT","ABSENT"))</x:f>
      </x:c>
      <x:c r="I197" t="str">
        <x:f>IF(A197="","",IF(LEFT(D197,2)="22",PARAMETRES!$B$5,IF(LEFT(D197,2)="42",PARAMETRES!$B$6,IF(LEFT(D197,2)="45",PARAMETRES!$B$7,0))))</x:f>
      </x:c>
    </x:row>
    <x:row r="198">
      <x:c r="H198" t="str">
        <x:f>IF(OR(A198="",F198=""),"",IF(AND(B198=PARAMETRES!$B$2,LEFT(F198,10)&lt;=PARAMETRES!$B$3,OR(G198="",LEFT(G198,10)&gt;PARAMETRES!$B$3)),"PRESENT","ABSENT"))</x:f>
      </x:c>
      <x:c r="I198" t="str">
        <x:f>IF(A198="","",IF(LEFT(D198,2)="22",PARAMETRES!$B$5,IF(LEFT(D198,2)="42",PARAMETRES!$B$6,IF(LEFT(D198,2)="45",PARAMETRES!$B$7,0))))</x:f>
      </x:c>
    </x:row>
    <x:row r="199">
      <x:c r="H199" t="str">
        <x:f>IF(OR(A199="",F199=""),"",IF(AND(B199=PARAMETRES!$B$2,LEFT(F199,10)&lt;=PARAMETRES!$B$3,OR(G199="",LEFT(G199,10)&gt;PARAMETRES!$B$3)),"PRESENT","ABSENT"))</x:f>
      </x:c>
      <x:c r="I199" t="str">
        <x:f>IF(A199="","",IF(LEFT(D199,2)="22",PARAMETRES!$B$5,IF(LEFT(D199,2)="42",PARAMETRES!$B$6,IF(LEFT(D199,2)="45",PARAMETRES!$B$7,0))))</x:f>
      </x:c>
    </x:row>
    <x:row r="200">
      <x:c r="H200" t="str">
        <x:f>IF(OR(A200="",F200=""),"",IF(AND(B200=PARAMETRES!$B$2,LEFT(F200,10)&lt;=PARAMETRES!$B$3,OR(G200="",LEFT(G200,10)&gt;PARAMETRES!$B$3)),"PRESENT","ABSENT"))</x:f>
      </x:c>
      <x:c r="I200" t="str">
        <x:f>IF(A200="","",IF(LEFT(D200,2)="22",PARAMETRES!$B$5,IF(LEFT(D200,2)="42",PARAMETRES!$B$6,IF(LEFT(D200,2)="45",PARAMETRES!$B$7,0))))</x:f>
      </x:c>
    </x:row>
    <x:row r="201">
      <x:c r="H201" t="str">
        <x:f>IF(OR(A201="",F201=""),"",IF(AND(B201=PARAMETRES!$B$2,LEFT(F201,10)&lt;=PARAMETRES!$B$3,OR(G201="",LEFT(G201,10)&gt;PARAMETRES!$B$3)),"PRESENT","ABSENT"))</x:f>
      </x:c>
      <x:c r="I201" t="str">
        <x:f>IF(A201="","",IF(LEFT(D201,2)="22",PARAMETRES!$B$5,IF(LEFT(D201,2)="42",PARAMETRES!$B$6,IF(LEFT(D201,2)="45",PARAMETRES!$B$7,0))))</x:f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3" hidden="0" customWidth="1"/>
    <x:col min="5" max="5" width="34" hidden="0" customWidth="1"/>
    <x:col min="6" max="6" width="24" hidden="0" customWidth="1"/>
    <x:col min="7" max="7" width="24" hidden="0" customWidth="1"/>
  </x:cols>
  <x:sheetData>
    <x:row r="1" ht="32" customHeight="1">
      <x:c r="A1" s="3" t="str">
        <x:v>CONTENEUR</x:v>
      </x:c>
      <x:c r="B1" s="3" t="str">
        <x:v>LIGNE</x:v>
      </x:c>
      <x:c r="C1" s="3" t="str">
        <x:v>CODE ISO</x:v>
      </x:c>
      <x:c r="D1" s="3" t="str">
        <x:v>DATE D ARRIVEE AU TERMINAL</x:v>
      </x:c>
      <x:c r="E1" s="3" t="str">
        <x:v>HEURE D ARRIVEE AU TERMINAL</x:v>
      </x:c>
      <x:c r="F1" s="3" t="str">
        <x:v>CLIENT</x:v>
      </x:c>
      <x:c r="G1" s="3" t="str">
        <x:v>EVP</x:v>
      </x:c>
    </x:row>
    <x:row r="2">
      <x:c r="A2" t="str">
        <x:f>_xlfn._xlws.FILTER(_xlfn.CHOOSECOLS(MOUVEMENTS!$A$2:$K$201,1,3,4,6,10,2,9),(MOUVEMENTS!$H$2:$H$201="PRESENT")*(MOUVEMENTS!$E$2:$E$201="20 DV"),"Aucun conteneur")</x:f>
        <x:v>Aucun conteneur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3" hidden="0" customWidth="1"/>
    <x:col min="5" max="5" width="34" hidden="0" customWidth="1"/>
    <x:col min="6" max="6" width="24" hidden="0" customWidth="1"/>
    <x:col min="7" max="7" width="24" hidden="0" customWidth="1"/>
  </x:cols>
  <x:sheetData>
    <x:row r="1" ht="32" customHeight="1">
      <x:c r="A1" s="3" t="str">
        <x:v>CONTENEUR</x:v>
      </x:c>
      <x:c r="B1" s="3" t="str">
        <x:v>LIGNE</x:v>
      </x:c>
      <x:c r="C1" s="3" t="str">
        <x:v>CODE ISO</x:v>
      </x:c>
      <x:c r="D1" s="3" t="str">
        <x:v>DATE D ARRIVEE AU TERMINAL</x:v>
      </x:c>
      <x:c r="E1" s="3" t="str">
        <x:v>HEURE D ARRIVEE AU TERMINAL</x:v>
      </x:c>
      <x:c r="F1" s="3" t="str">
        <x:v>CLIENT</x:v>
      </x:c>
      <x:c r="G1" s="3" t="str">
        <x:v>EVP</x:v>
      </x:c>
    </x:row>
    <x:row r="2">
      <x:c r="A2" t="str">
        <x:f>_xlfn._xlws.FILTER(_xlfn.CHOOSECOLS(MOUVEMENTS!$A$2:$K$201,1,3,4,6,10,2,9),(MOUVEMENTS!$H$2:$H$201="PRESENT")*(MOUVEMENTS!$E$2:$E$201="40 DV ST"),"Aucun conteneur")</x:f>
        <x:v>Aucun conteneur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3" hidden="0" customWidth="1"/>
    <x:col min="5" max="5" width="34" hidden="0" customWidth="1"/>
    <x:col min="6" max="6" width="24" hidden="0" customWidth="1"/>
    <x:col min="7" max="7" width="24" hidden="0" customWidth="1"/>
  </x:cols>
  <x:sheetData>
    <x:row r="1" ht="32" customHeight="1">
      <x:c r="A1" s="3" t="str">
        <x:v>CONTENEUR</x:v>
      </x:c>
      <x:c r="B1" s="3" t="str">
        <x:v>LIGNE</x:v>
      </x:c>
      <x:c r="C1" s="3" t="str">
        <x:v>CODE ISO</x:v>
      </x:c>
      <x:c r="D1" s="3" t="str">
        <x:v>DATE D ARRIVEE AU TERMINAL</x:v>
      </x:c>
      <x:c r="E1" s="3" t="str">
        <x:v>HEURE D ARRIVEE AU TERMINAL</x:v>
      </x:c>
      <x:c r="F1" s="3" t="str">
        <x:v>CLIENT</x:v>
      </x:c>
      <x:c r="G1" s="3" t="str">
        <x:v>EVP</x:v>
      </x:c>
    </x:row>
    <x:row r="2">
      <x:c r="A2" t="str">
        <x:f>_xlfn._xlws.FILTER(_xlfn.CHOOSECOLS(MOUVEMENTS!$A$2:$K$201,1,3,4,6,10,2,9),(MOUVEMENTS!$H$2:$H$201="PRESENT")*(MOUVEMENTS!$E$2:$E$201="40 DV HC"),"Aucun conteneur")</x:f>
        <x:v>Aucun conteneur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3" hidden="0" customWidth="1"/>
    <x:col min="5" max="5" width="34" hidden="0" customWidth="1"/>
    <x:col min="6" max="6" width="24" hidden="0" customWidth="1"/>
    <x:col min="7" max="7" width="24" hidden="0" customWidth="1"/>
  </x:cols>
  <x:sheetData>
    <x:row r="1" ht="32" customHeight="1">
      <x:c r="A1" s="3" t="str">
        <x:v>CONTENEUR</x:v>
      </x:c>
      <x:c r="B1" s="3" t="str">
        <x:v>LIGNE</x:v>
      </x:c>
      <x:c r="C1" s="3" t="str">
        <x:v>CODE ISO</x:v>
      </x:c>
      <x:c r="D1" s="3" t="str">
        <x:v>DATE D ARRIVEE AU TERMINAL</x:v>
      </x:c>
      <x:c r="E1" s="3" t="str">
        <x:v>HEURE D ARRIVEE AU TERMINAL</x:v>
      </x:c>
      <x:c r="F1" s="3" t="str">
        <x:v>CLIENT</x:v>
      </x:c>
      <x:c r="G1" s="3" t="str">
        <x:v>EVP</x:v>
      </x:c>
    </x:row>
    <x:row r="2">
      <x:c r="A2" t="str">
        <x:f>_xlfn._xlws.FILTER(_xlfn.CHOOSECOLS(MOUVEMENTS!$A$2:$K$201,1,3,4,6,10,2,9),(MOUVEMENTS!$H$2:$H$201="PRESENT")*(MOUVEMENTS!$E$2:$E$201="45 DV"),"Aucun conteneur")</x:f>
        <x:v>Aucun conteneur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3" hidden="0" customWidth="1"/>
    <x:col min="5" max="5" width="34" hidden="0" customWidth="1"/>
    <x:col min="6" max="6" width="24" hidden="0" customWidth="1"/>
    <x:col min="7" max="7" width="24" hidden="0" customWidth="1"/>
  </x:cols>
  <x:sheetData>
    <x:row r="1" ht="32" customHeight="1">
      <x:c r="A1" s="3" t="str">
        <x:v>CONTENEUR</x:v>
      </x:c>
      <x:c r="B1" s="3" t="str">
        <x:v>LIGNE</x:v>
      </x:c>
      <x:c r="C1" s="3" t="str">
        <x:v>CODE ISO</x:v>
      </x:c>
      <x:c r="D1" s="3" t="str">
        <x:v>DATE D ARRIVEE AU TERMINAL</x:v>
      </x:c>
      <x:c r="E1" s="3" t="str">
        <x:v>HEURE D ARRIVEE AU TERMINAL</x:v>
      </x:c>
      <x:c r="F1" s="3" t="str">
        <x:v>CLIENT</x:v>
      </x:c>
      <x:c r="G1" s="3" t="str">
        <x:v>EVP</x:v>
      </x:c>
    </x:row>
    <x:row r="2">
      <x:c r="A2" t="str">
        <x:f>_xlfn._xlws.FILTER(_xlfn.CHOOSECOLS(MOUVEMENTS!$A$2:$K$201,1,3,4,6,10,2,9),(MOUVEMENTS!$H$2:$H$201="PRESENT")*(MOUVEMENTS!$E$2:$E$201="FRIGO 20"),"Aucun conteneur")</x:f>
        <x:v>Aucun conteneur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3" hidden="0" customWidth="1"/>
    <x:col min="5" max="5" width="34" hidden="0" customWidth="1"/>
    <x:col min="6" max="6" width="24" hidden="0" customWidth="1"/>
    <x:col min="7" max="7" width="24" hidden="0" customWidth="1"/>
  </x:cols>
  <x:sheetData>
    <x:row r="1" ht="32" customHeight="1">
      <x:c r="A1" s="3" t="str">
        <x:v>CONTENEUR</x:v>
      </x:c>
      <x:c r="B1" s="3" t="str">
        <x:v>LIGNE</x:v>
      </x:c>
      <x:c r="C1" s="3" t="str">
        <x:v>CODE ISO</x:v>
      </x:c>
      <x:c r="D1" s="3" t="str">
        <x:v>DATE D ARRIVEE AU TERMINAL</x:v>
      </x:c>
      <x:c r="E1" s="3" t="str">
        <x:v>HEURE D ARRIVEE AU TERMINAL</x:v>
      </x:c>
      <x:c r="F1" s="3" t="str">
        <x:v>CLIENT</x:v>
      </x:c>
      <x:c r="G1" s="3" t="str">
        <x:v>EVP</x:v>
      </x:c>
    </x:row>
    <x:row r="2">
      <x:c r="A2" t="str">
        <x:f>_xlfn._xlws.FILTER(_xlfn.CHOOSECOLS(MOUVEMENTS!$A$2:$K$201,1,3,4,6,10,2,9),(MOUVEMENTS!$H$2:$H$201="PRESENT")*(MOUVEMENTS!$E$2:$E$201="FRIGO 40"),"Aucun conteneur")</x:f>
        <x:v>Aucun conteneur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3" hidden="0" customWidth="1"/>
    <x:col min="5" max="5" width="34" hidden="0" customWidth="1"/>
    <x:col min="6" max="6" width="24" hidden="0" customWidth="1"/>
    <x:col min="7" max="7" width="24" hidden="0" customWidth="1"/>
  </x:cols>
  <x:sheetData>
    <x:row r="1" ht="32" customHeight="1">
      <x:c r="A1" s="3" t="str">
        <x:v>CONTENEUR</x:v>
      </x:c>
      <x:c r="B1" s="3" t="str">
        <x:v>LIGNE</x:v>
      </x:c>
      <x:c r="C1" s="3" t="str">
        <x:v>CODE ISO</x:v>
      </x:c>
      <x:c r="D1" s="3" t="str">
        <x:v>DATE D ARRIVEE AU TERMINAL</x:v>
      </x:c>
      <x:c r="E1" s="3" t="str">
        <x:v>HEURE D ARRIVEE AU TERMINAL</x:v>
      </x:c>
      <x:c r="F1" s="3" t="str">
        <x:v>CLIENT</x:v>
      </x:c>
      <x:c r="G1" s="3" t="str">
        <x:v>EVP</x:v>
      </x:c>
    </x:row>
    <x:row r="2">
      <x:c r="A2" t="str">
        <x:f>_xlfn._xlws.FILTER(_xlfn.CHOOSECOLS(MOUVEMENTS!$A$2:$K$201,1,3,4,6,10,2,9),(MOUVEMENTS!$H$2:$H$201="PRESENT")*ISNUMBER(MATCH(MOUVEMENTS!$E$2:$E$201,{"OT","FL","HP","CT","PW"},0)),"Aucun conteneur")</x:f>
        <x:v>Aucun conteneur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3" t="str">
        <x:v>ARMATEUR</x:v>
      </x:c>
      <x:c r="B1" s="3" t="str">
        <x:v>20 DV</x:v>
      </x:c>
      <x:c r="C1" s="3" t="str">
        <x:v>40 DV ST</x:v>
      </x:c>
      <x:c r="D1" s="3" t="str">
        <x:v>40 DV HC</x:v>
      </x:c>
      <x:c r="E1" s="3" t="str">
        <x:v>45 DV</x:v>
      </x:c>
      <x:c r="F1" s="3" t="str">
        <x:v>TOTAL EVP</x:v>
      </x:c>
    </x:row>
    <x:row r="2">
      <x:c r="A2" t="str" cm="1">
        <x:f t="array" ref="A2">_xlfn._xlws.SORT(_xlfn.UNIQUE(_xlfn._xlws.FILTER(MOUVEMENTS!C2:C201,(MOUVEMENTS!H2:H201="PRESENT")*(MOUVEMENTS!C2:C201&lt;&gt;""),"")))</x:f>
      </x:c>
      <x:c r="B2" t="str">
        <x:f>IF($A2="","",COUNTIFS(MOUVEMENTS!$C$2:$C$201,$A2,MOUVEMENTS!$E$2:$E$201,"20 DV",MOUVEMENTS!$H$2:$H$201,"PRESENT"))</x:f>
      </x:c>
      <x:c r="C2" t="str">
        <x:f>IF($A2="","",COUNTIFS(MOUVEMENTS!$C$2:$C$201,$A2,MOUVEMENTS!$E$2:$E$201,"40 DV ST",MOUVEMENTS!$H$2:$H$201,"PRESENT"))</x:f>
      </x:c>
      <x:c r="D2" t="str">
        <x:f>IF($A2="","",COUNTIFS(MOUVEMENTS!$C$2:$C$201,$A2,MOUVEMENTS!$E$2:$E$201,"40 DV HC",MOUVEMENTS!$H$2:$H$201,"PRESENT"))</x:f>
      </x:c>
      <x:c r="E2" t="str">
        <x:f>IF($A2="","",COUNTIFS(MOUVEMENTS!$C$2:$C$201,$A2,MOUVEMENTS!$E$2:$E$201,"45 DV",MOUVEMENTS!$H$2:$H$201,"PRESENT"))</x:f>
      </x:c>
      <x:c r="F2" t="str">
        <x:f>IF($A2="","",SUMIFS(MOUVEMENTS!$I$2:$I$201,MOUVEMENTS!$C$2:$C$201,$A2,MOUVEMENTS!$H$2:$H$201,"PRESENT"))</x:f>
      </x:c>
    </x:row>
    <x:row r="3">
      <x:c r="B3" t="str">
        <x:f>IF($A3="","",COUNTIFS(MOUVEMENTS!$C$2:$C$201,$A3,MOUVEMENTS!$E$2:$E$201,"20 DV",MOUVEMENTS!$H$2:$H$201,"PRESENT"))</x:f>
      </x:c>
      <x:c r="C3" t="str">
        <x:f>IF($A3="","",COUNTIFS(MOUVEMENTS!$C$2:$C$201,$A3,MOUVEMENTS!$E$2:$E$201,"40 DV ST",MOUVEMENTS!$H$2:$H$201,"PRESENT"))</x:f>
      </x:c>
      <x:c r="D3" t="str">
        <x:f>IF($A3="","",COUNTIFS(MOUVEMENTS!$C$2:$C$201,$A3,MOUVEMENTS!$E$2:$E$201,"40 DV HC",MOUVEMENTS!$H$2:$H$201,"PRESENT"))</x:f>
      </x:c>
      <x:c r="E3" t="str">
        <x:f>IF($A3="","",COUNTIFS(MOUVEMENTS!$C$2:$C$201,$A3,MOUVEMENTS!$E$2:$E$201,"45 DV",MOUVEMENTS!$H$2:$H$201,"PRESENT"))</x:f>
      </x:c>
      <x:c r="F3" t="str">
        <x:f>IF($A3="","",SUMIFS(MOUVEMENTS!$I$2:$I$201,MOUVEMENTS!$C$2:$C$201,$A3,MOUVEMENTS!$H$2:$H$201,"PRESENT"))</x:f>
      </x:c>
    </x:row>
    <x:row r="4">
      <x:c r="B4" t="str">
        <x:f>IF($A4="","",COUNTIFS(MOUVEMENTS!$C$2:$C$201,$A4,MOUVEMENTS!$E$2:$E$201,"20 DV",MOUVEMENTS!$H$2:$H$201,"PRESENT"))</x:f>
      </x:c>
      <x:c r="C4" t="str">
        <x:f>IF($A4="","",COUNTIFS(MOUVEMENTS!$C$2:$C$201,$A4,MOUVEMENTS!$E$2:$E$201,"40 DV ST",MOUVEMENTS!$H$2:$H$201,"PRESENT"))</x:f>
      </x:c>
      <x:c r="D4" t="str">
        <x:f>IF($A4="","",COUNTIFS(MOUVEMENTS!$C$2:$C$201,$A4,MOUVEMENTS!$E$2:$E$201,"40 DV HC",MOUVEMENTS!$H$2:$H$201,"PRESENT"))</x:f>
      </x:c>
      <x:c r="E4" t="str">
        <x:f>IF($A4="","",COUNTIFS(MOUVEMENTS!$C$2:$C$201,$A4,MOUVEMENTS!$E$2:$E$201,"45 DV",MOUVEMENTS!$H$2:$H$201,"PRESENT"))</x:f>
      </x:c>
      <x:c r="F4" t="str">
        <x:f>IF($A4="","",SUMIFS(MOUVEMENTS!$I$2:$I$201,MOUVEMENTS!$C$2:$C$201,$A4,MOUVEMENTS!$H$2:$H$201,"PRESENT"))</x:f>
      </x:c>
    </x:row>
    <x:row r="5">
      <x:c r="B5" t="str">
        <x:f>IF($A5="","",COUNTIFS(MOUVEMENTS!$C$2:$C$201,$A5,MOUVEMENTS!$E$2:$E$201,"20 DV",MOUVEMENTS!$H$2:$H$201,"PRESENT"))</x:f>
      </x:c>
      <x:c r="C5" t="str">
        <x:f>IF($A5="","",COUNTIFS(MOUVEMENTS!$C$2:$C$201,$A5,MOUVEMENTS!$E$2:$E$201,"40 DV ST",MOUVEMENTS!$H$2:$H$201,"PRESENT"))</x:f>
      </x:c>
      <x:c r="D5" t="str">
        <x:f>IF($A5="","",COUNTIFS(MOUVEMENTS!$C$2:$C$201,$A5,MOUVEMENTS!$E$2:$E$201,"40 DV HC",MOUVEMENTS!$H$2:$H$201,"PRESENT"))</x:f>
      </x:c>
      <x:c r="E5" t="str">
        <x:f>IF($A5="","",COUNTIFS(MOUVEMENTS!$C$2:$C$201,$A5,MOUVEMENTS!$E$2:$E$201,"45 DV",MOUVEMENTS!$H$2:$H$201,"PRESENT"))</x:f>
      </x:c>
      <x:c r="F5" t="str">
        <x:f>IF($A5="","",SUMIFS(MOUVEMENTS!$I$2:$I$201,MOUVEMENTS!$C$2:$C$201,$A5,MOUVEMENTS!$H$2:$H$201,"PRESENT"))</x:f>
      </x:c>
    </x:row>
    <x:row r="6">
      <x:c r="B6" t="str">
        <x:f>IF($A6="","",COUNTIFS(MOUVEMENTS!$C$2:$C$201,$A6,MOUVEMENTS!$E$2:$E$201,"20 DV",MOUVEMENTS!$H$2:$H$201,"PRESENT"))</x:f>
      </x:c>
      <x:c r="C6" t="str">
        <x:f>IF($A6="","",COUNTIFS(MOUVEMENTS!$C$2:$C$201,$A6,MOUVEMENTS!$E$2:$E$201,"40 DV ST",MOUVEMENTS!$H$2:$H$201,"PRESENT"))</x:f>
      </x:c>
      <x:c r="D6" t="str">
        <x:f>IF($A6="","",COUNTIFS(MOUVEMENTS!$C$2:$C$201,$A6,MOUVEMENTS!$E$2:$E$201,"40 DV HC",MOUVEMENTS!$H$2:$H$201,"PRESENT"))</x:f>
      </x:c>
      <x:c r="E6" t="str">
        <x:f>IF($A6="","",COUNTIFS(MOUVEMENTS!$C$2:$C$201,$A6,MOUVEMENTS!$E$2:$E$201,"45 DV",MOUVEMENTS!$H$2:$H$201,"PRESENT"))</x:f>
      </x:c>
      <x:c r="F6" t="str">
        <x:f>IF($A6="","",SUMIFS(MOUVEMENTS!$I$2:$I$201,MOUVEMENTS!$C$2:$C$201,$A6,MOUVEMENTS!$H$2:$H$201,"PRESENT"))</x:f>
      </x:c>
    </x:row>
    <x:row r="7">
      <x:c r="B7" t="str">
        <x:f>IF($A7="","",COUNTIFS(MOUVEMENTS!$C$2:$C$201,$A7,MOUVEMENTS!$E$2:$E$201,"20 DV",MOUVEMENTS!$H$2:$H$201,"PRESENT"))</x:f>
      </x:c>
      <x:c r="C7" t="str">
        <x:f>IF($A7="","",COUNTIFS(MOUVEMENTS!$C$2:$C$201,$A7,MOUVEMENTS!$E$2:$E$201,"40 DV ST",MOUVEMENTS!$H$2:$H$201,"PRESENT"))</x:f>
      </x:c>
      <x:c r="D7" t="str">
        <x:f>IF($A7="","",COUNTIFS(MOUVEMENTS!$C$2:$C$201,$A7,MOUVEMENTS!$E$2:$E$201,"40 DV HC",MOUVEMENTS!$H$2:$H$201,"PRESENT"))</x:f>
      </x:c>
      <x:c r="E7" t="str">
        <x:f>IF($A7="","",COUNTIFS(MOUVEMENTS!$C$2:$C$201,$A7,MOUVEMENTS!$E$2:$E$201,"45 DV",MOUVEMENTS!$H$2:$H$201,"PRESENT"))</x:f>
      </x:c>
      <x:c r="F7" t="str">
        <x:f>IF($A7="","",SUMIFS(MOUVEMENTS!$I$2:$I$201,MOUVEMENTS!$C$2:$C$201,$A7,MOUVEMENTS!$H$2:$H$201,"PRESENT"))</x:f>
      </x:c>
    </x:row>
    <x:row r="8">
      <x:c r="B8" t="str">
        <x:f>IF($A8="","",COUNTIFS(MOUVEMENTS!$C$2:$C$201,$A8,MOUVEMENTS!$E$2:$E$201,"20 DV",MOUVEMENTS!$H$2:$H$201,"PRESENT"))</x:f>
      </x:c>
      <x:c r="C8" t="str">
        <x:f>IF($A8="","",COUNTIFS(MOUVEMENTS!$C$2:$C$201,$A8,MOUVEMENTS!$E$2:$E$201,"40 DV ST",MOUVEMENTS!$H$2:$H$201,"PRESENT"))</x:f>
      </x:c>
      <x:c r="D8" t="str">
        <x:f>IF($A8="","",COUNTIFS(MOUVEMENTS!$C$2:$C$201,$A8,MOUVEMENTS!$E$2:$E$201,"40 DV HC",MOUVEMENTS!$H$2:$H$201,"PRESENT"))</x:f>
      </x:c>
      <x:c r="E8" t="str">
        <x:f>IF($A8="","",COUNTIFS(MOUVEMENTS!$C$2:$C$201,$A8,MOUVEMENTS!$E$2:$E$201,"45 DV",MOUVEMENTS!$H$2:$H$201,"PRESENT"))</x:f>
      </x:c>
      <x:c r="F8" t="str">
        <x:f>IF($A8="","",SUMIFS(MOUVEMENTS!$I$2:$I$201,MOUVEMENTS!$C$2:$C$201,$A8,MOUVEMENTS!$H$2:$H$201,"PRESENT"))</x:f>
      </x:c>
    </x:row>
    <x:row r="9">
      <x:c r="B9" t="str">
        <x:f>IF($A9="","",COUNTIFS(MOUVEMENTS!$C$2:$C$201,$A9,MOUVEMENTS!$E$2:$E$201,"20 DV",MOUVEMENTS!$H$2:$H$201,"PRESENT"))</x:f>
      </x:c>
      <x:c r="C9" t="str">
        <x:f>IF($A9="","",COUNTIFS(MOUVEMENTS!$C$2:$C$201,$A9,MOUVEMENTS!$E$2:$E$201,"40 DV ST",MOUVEMENTS!$H$2:$H$201,"PRESENT"))</x:f>
      </x:c>
      <x:c r="D9" t="str">
        <x:f>IF($A9="","",COUNTIFS(MOUVEMENTS!$C$2:$C$201,$A9,MOUVEMENTS!$E$2:$E$201,"40 DV HC",MOUVEMENTS!$H$2:$H$201,"PRESENT"))</x:f>
      </x:c>
      <x:c r="E9" t="str">
        <x:f>IF($A9="","",COUNTIFS(MOUVEMENTS!$C$2:$C$201,$A9,MOUVEMENTS!$E$2:$E$201,"45 DV",MOUVEMENTS!$H$2:$H$201,"PRESENT"))</x:f>
      </x:c>
      <x:c r="F9" t="str">
        <x:f>IF($A9="","",SUMIFS(MOUVEMENTS!$I$2:$I$201,MOUVEMENTS!$C$2:$C$201,$A9,MOUVEMENTS!$H$2:$H$201,"PRESENT"))</x:f>
      </x:c>
    </x:row>
    <x:row r="10">
      <x:c r="B10" t="str">
        <x:f>IF($A10="","",COUNTIFS(MOUVEMENTS!$C$2:$C$201,$A10,MOUVEMENTS!$E$2:$E$201,"20 DV",MOUVEMENTS!$H$2:$H$201,"PRESENT"))</x:f>
      </x:c>
      <x:c r="C10" t="str">
        <x:f>IF($A10="","",COUNTIFS(MOUVEMENTS!$C$2:$C$201,$A10,MOUVEMENTS!$E$2:$E$201,"40 DV ST",MOUVEMENTS!$H$2:$H$201,"PRESENT"))</x:f>
      </x:c>
      <x:c r="D10" t="str">
        <x:f>IF($A10="","",COUNTIFS(MOUVEMENTS!$C$2:$C$201,$A10,MOUVEMENTS!$E$2:$E$201,"40 DV HC",MOUVEMENTS!$H$2:$H$201,"PRESENT"))</x:f>
      </x:c>
      <x:c r="E10" t="str">
        <x:f>IF($A10="","",COUNTIFS(MOUVEMENTS!$C$2:$C$201,$A10,MOUVEMENTS!$E$2:$E$201,"45 DV",MOUVEMENTS!$H$2:$H$201,"PRESENT"))</x:f>
      </x:c>
      <x:c r="F10" t="str">
        <x:f>IF($A10="","",SUMIFS(MOUVEMENTS!$I$2:$I$201,MOUVEMENTS!$C$2:$C$201,$A10,MOUVEMENTS!$H$2:$H$201,"PRESENT"))</x:f>
      </x:c>
    </x:row>
    <x:row r="11">
      <x:c r="B11" t="str">
        <x:f>IF($A11="","",COUNTIFS(MOUVEMENTS!$C$2:$C$201,$A11,MOUVEMENTS!$E$2:$E$201,"20 DV",MOUVEMENTS!$H$2:$H$201,"PRESENT"))</x:f>
      </x:c>
      <x:c r="C11" t="str">
        <x:f>IF($A11="","",COUNTIFS(MOUVEMENTS!$C$2:$C$201,$A11,MOUVEMENTS!$E$2:$E$201,"40 DV ST",MOUVEMENTS!$H$2:$H$201,"PRESENT"))</x:f>
      </x:c>
      <x:c r="D11" t="str">
        <x:f>IF($A11="","",COUNTIFS(MOUVEMENTS!$C$2:$C$201,$A11,MOUVEMENTS!$E$2:$E$201,"40 DV HC",MOUVEMENTS!$H$2:$H$201,"PRESENT"))</x:f>
      </x:c>
      <x:c r="E11" t="str">
        <x:f>IF($A11="","",COUNTIFS(MOUVEMENTS!$C$2:$C$201,$A11,MOUVEMENTS!$E$2:$E$201,"45 DV",MOUVEMENTS!$H$2:$H$201,"PRESENT"))</x:f>
      </x:c>
      <x:c r="F11" t="str">
        <x:f>IF($A11="","",SUMIFS(MOUVEMENTS!$I$2:$I$201,MOUVEMENTS!$C$2:$C$201,$A11,MOUVEMENTS!$H$2:$H$201,"PRESENT"))</x:f>
      </x:c>
    </x:row>
    <x:row r="12">
      <x:c r="B12" t="str">
        <x:f>IF($A12="","",COUNTIFS(MOUVEMENTS!$C$2:$C$201,$A12,MOUVEMENTS!$E$2:$E$201,"20 DV",MOUVEMENTS!$H$2:$H$201,"PRESENT"))</x:f>
      </x:c>
      <x:c r="C12" t="str">
        <x:f>IF($A12="","",COUNTIFS(MOUVEMENTS!$C$2:$C$201,$A12,MOUVEMENTS!$E$2:$E$201,"40 DV ST",MOUVEMENTS!$H$2:$H$201,"PRESENT"))</x:f>
      </x:c>
      <x:c r="D12" t="str">
        <x:f>IF($A12="","",COUNTIFS(MOUVEMENTS!$C$2:$C$201,$A12,MOUVEMENTS!$E$2:$E$201,"40 DV HC",MOUVEMENTS!$H$2:$H$201,"PRESENT"))</x:f>
      </x:c>
      <x:c r="E12" t="str">
        <x:f>IF($A12="","",COUNTIFS(MOUVEMENTS!$C$2:$C$201,$A12,MOUVEMENTS!$E$2:$E$201,"45 DV",MOUVEMENTS!$H$2:$H$201,"PRESENT"))</x:f>
      </x:c>
      <x:c r="F12" t="str">
        <x:f>IF($A12="","",SUMIFS(MOUVEMENTS!$I$2:$I$201,MOUVEMENTS!$C$2:$C$201,$A12,MOUVEMENTS!$H$2:$H$201,"PRESENT"))</x:f>
      </x:c>
    </x:row>
    <x:row r="13">
      <x:c r="B13" t="str">
        <x:f>IF($A13="","",COUNTIFS(MOUVEMENTS!$C$2:$C$201,$A13,MOUVEMENTS!$E$2:$E$201,"20 DV",MOUVEMENTS!$H$2:$H$201,"PRESENT"))</x:f>
      </x:c>
      <x:c r="C13" t="str">
        <x:f>IF($A13="","",COUNTIFS(MOUVEMENTS!$C$2:$C$201,$A13,MOUVEMENTS!$E$2:$E$201,"40 DV ST",MOUVEMENTS!$H$2:$H$201,"PRESENT"))</x:f>
      </x:c>
      <x:c r="D13" t="str">
        <x:f>IF($A13="","",COUNTIFS(MOUVEMENTS!$C$2:$C$201,$A13,MOUVEMENTS!$E$2:$E$201,"40 DV HC",MOUVEMENTS!$H$2:$H$201,"PRESENT"))</x:f>
      </x:c>
      <x:c r="E13" t="str">
        <x:f>IF($A13="","",COUNTIFS(MOUVEMENTS!$C$2:$C$201,$A13,MOUVEMENTS!$E$2:$E$201,"45 DV",MOUVEMENTS!$H$2:$H$201,"PRESENT"))</x:f>
      </x:c>
      <x:c r="F13" t="str">
        <x:f>IF($A13="","",SUMIFS(MOUVEMENTS!$I$2:$I$201,MOUVEMENTS!$C$2:$C$201,$A13,MOUVEMENTS!$H$2:$H$201,"PRESENT"))</x:f>
      </x:c>
    </x:row>
    <x:row r="14">
      <x:c r="B14" t="str">
        <x:f>IF($A14="","",COUNTIFS(MOUVEMENTS!$C$2:$C$201,$A14,MOUVEMENTS!$E$2:$E$201,"20 DV",MOUVEMENTS!$H$2:$H$201,"PRESENT"))</x:f>
      </x:c>
      <x:c r="C14" t="str">
        <x:f>IF($A14="","",COUNTIFS(MOUVEMENTS!$C$2:$C$201,$A14,MOUVEMENTS!$E$2:$E$201,"40 DV ST",MOUVEMENTS!$H$2:$H$201,"PRESENT"))</x:f>
      </x:c>
      <x:c r="D14" t="str">
        <x:f>IF($A14="","",COUNTIFS(MOUVEMENTS!$C$2:$C$201,$A14,MOUVEMENTS!$E$2:$E$201,"40 DV HC",MOUVEMENTS!$H$2:$H$201,"PRESENT"))</x:f>
      </x:c>
      <x:c r="E14" t="str">
        <x:f>IF($A14="","",COUNTIFS(MOUVEMENTS!$C$2:$C$201,$A14,MOUVEMENTS!$E$2:$E$201,"45 DV",MOUVEMENTS!$H$2:$H$201,"PRESENT"))</x:f>
      </x:c>
      <x:c r="F14" t="str">
        <x:f>IF($A14="","",SUMIFS(MOUVEMENTS!$I$2:$I$201,MOUVEMENTS!$C$2:$C$201,$A14,MOUVEMENTS!$H$2:$H$201,"PRESENT"))</x:f>
      </x:c>
    </x:row>
    <x:row r="15">
      <x:c r="B15" t="str">
        <x:f>IF($A15="","",COUNTIFS(MOUVEMENTS!$C$2:$C$201,$A15,MOUVEMENTS!$E$2:$E$201,"20 DV",MOUVEMENTS!$H$2:$H$201,"PRESENT"))</x:f>
      </x:c>
      <x:c r="C15" t="str">
        <x:f>IF($A15="","",COUNTIFS(MOUVEMENTS!$C$2:$C$201,$A15,MOUVEMENTS!$E$2:$E$201,"40 DV ST",MOUVEMENTS!$H$2:$H$201,"PRESENT"))</x:f>
      </x:c>
      <x:c r="D15" t="str">
        <x:f>IF($A15="","",COUNTIFS(MOUVEMENTS!$C$2:$C$201,$A15,MOUVEMENTS!$E$2:$E$201,"40 DV HC",MOUVEMENTS!$H$2:$H$201,"PRESENT"))</x:f>
      </x:c>
      <x:c r="E15" t="str">
        <x:f>IF($A15="","",COUNTIFS(MOUVEMENTS!$C$2:$C$201,$A15,MOUVEMENTS!$E$2:$E$201,"45 DV",MOUVEMENTS!$H$2:$H$201,"PRESENT"))</x:f>
      </x:c>
      <x:c r="F15" t="str">
        <x:f>IF($A15="","",SUMIFS(MOUVEMENTS!$I$2:$I$201,MOUVEMENTS!$C$2:$C$201,$A15,MOUVEMENTS!$H$2:$H$201,"PRESENT"))</x:f>
      </x:c>
    </x:row>
    <x:row r="16">
      <x:c r="B16" t="str">
        <x:f>IF($A16="","",COUNTIFS(MOUVEMENTS!$C$2:$C$201,$A16,MOUVEMENTS!$E$2:$E$201,"20 DV",MOUVEMENTS!$H$2:$H$201,"PRESENT"))</x:f>
      </x:c>
      <x:c r="C16" t="str">
        <x:f>IF($A16="","",COUNTIFS(MOUVEMENTS!$C$2:$C$201,$A16,MOUVEMENTS!$E$2:$E$201,"40 DV ST",MOUVEMENTS!$H$2:$H$201,"PRESENT"))</x:f>
      </x:c>
      <x:c r="D16" t="str">
        <x:f>IF($A16="","",COUNTIFS(MOUVEMENTS!$C$2:$C$201,$A16,MOUVEMENTS!$E$2:$E$201,"40 DV HC",MOUVEMENTS!$H$2:$H$201,"PRESENT"))</x:f>
      </x:c>
      <x:c r="E16" t="str">
        <x:f>IF($A16="","",COUNTIFS(MOUVEMENTS!$C$2:$C$201,$A16,MOUVEMENTS!$E$2:$E$201,"45 DV",MOUVEMENTS!$H$2:$H$201,"PRESENT"))</x:f>
      </x:c>
      <x:c r="F16" t="str">
        <x:f>IF($A16="","",SUMIFS(MOUVEMENTS!$I$2:$I$201,MOUVEMENTS!$C$2:$C$201,$A16,MOUVEMENTS!$H$2:$H$201,"PRESENT"))</x:f>
      </x:c>
    </x:row>
    <x:row r="17">
      <x:c r="B17" t="str">
        <x:f>IF($A17="","",COUNTIFS(MOUVEMENTS!$C$2:$C$201,$A17,MOUVEMENTS!$E$2:$E$201,"20 DV",MOUVEMENTS!$H$2:$H$201,"PRESENT"))</x:f>
      </x:c>
      <x:c r="C17" t="str">
        <x:f>IF($A17="","",COUNTIFS(MOUVEMENTS!$C$2:$C$201,$A17,MOUVEMENTS!$E$2:$E$201,"40 DV ST",MOUVEMENTS!$H$2:$H$201,"PRESENT"))</x:f>
      </x:c>
      <x:c r="D17" t="str">
        <x:f>IF($A17="","",COUNTIFS(MOUVEMENTS!$C$2:$C$201,$A17,MOUVEMENTS!$E$2:$E$201,"40 DV HC",MOUVEMENTS!$H$2:$H$201,"PRESENT"))</x:f>
      </x:c>
      <x:c r="E17" t="str">
        <x:f>IF($A17="","",COUNTIFS(MOUVEMENTS!$C$2:$C$201,$A17,MOUVEMENTS!$E$2:$E$201,"45 DV",MOUVEMENTS!$H$2:$H$201,"PRESENT"))</x:f>
      </x:c>
      <x:c r="F17" t="str">
        <x:f>IF($A17="","",SUMIFS(MOUVEMENTS!$I$2:$I$201,MOUVEMENTS!$C$2:$C$201,$A17,MOUVEMENTS!$H$2:$H$201,"PRESENT"))</x:f>
      </x:c>
    </x:row>
    <x:row r="18">
      <x:c r="B18" t="str">
        <x:f>IF($A18="","",COUNTIFS(MOUVEMENTS!$C$2:$C$201,$A18,MOUVEMENTS!$E$2:$E$201,"20 DV",MOUVEMENTS!$H$2:$H$201,"PRESENT"))</x:f>
      </x:c>
      <x:c r="C18" t="str">
        <x:f>IF($A18="","",COUNTIFS(MOUVEMENTS!$C$2:$C$201,$A18,MOUVEMENTS!$E$2:$E$201,"40 DV ST",MOUVEMENTS!$H$2:$H$201,"PRESENT"))</x:f>
      </x:c>
      <x:c r="D18" t="str">
        <x:f>IF($A18="","",COUNTIFS(MOUVEMENTS!$C$2:$C$201,$A18,MOUVEMENTS!$E$2:$E$201,"40 DV HC",MOUVEMENTS!$H$2:$H$201,"PRESENT"))</x:f>
      </x:c>
      <x:c r="E18" t="str">
        <x:f>IF($A18="","",COUNTIFS(MOUVEMENTS!$C$2:$C$201,$A18,MOUVEMENTS!$E$2:$E$201,"45 DV",MOUVEMENTS!$H$2:$H$201,"PRESENT"))</x:f>
      </x:c>
      <x:c r="F18" t="str">
        <x:f>IF($A18="","",SUMIFS(MOUVEMENTS!$I$2:$I$201,MOUVEMENTS!$C$2:$C$201,$A18,MOUVEMENTS!$H$2:$H$201,"PRESENT"))</x:f>
      </x:c>
    </x:row>
    <x:row r="19">
      <x:c r="B19" t="str">
        <x:f>IF($A19="","",COUNTIFS(MOUVEMENTS!$C$2:$C$201,$A19,MOUVEMENTS!$E$2:$E$201,"20 DV",MOUVEMENTS!$H$2:$H$201,"PRESENT"))</x:f>
      </x:c>
      <x:c r="C19" t="str">
        <x:f>IF($A19="","",COUNTIFS(MOUVEMENTS!$C$2:$C$201,$A19,MOUVEMENTS!$E$2:$E$201,"40 DV ST",MOUVEMENTS!$H$2:$H$201,"PRESENT"))</x:f>
      </x:c>
      <x:c r="D19" t="str">
        <x:f>IF($A19="","",COUNTIFS(MOUVEMENTS!$C$2:$C$201,$A19,MOUVEMENTS!$E$2:$E$201,"40 DV HC",MOUVEMENTS!$H$2:$H$201,"PRESENT"))</x:f>
      </x:c>
      <x:c r="E19" t="str">
        <x:f>IF($A19="","",COUNTIFS(MOUVEMENTS!$C$2:$C$201,$A19,MOUVEMENTS!$E$2:$E$201,"45 DV",MOUVEMENTS!$H$2:$H$201,"PRESENT"))</x:f>
      </x:c>
      <x:c r="F19" t="str">
        <x:f>IF($A19="","",SUMIFS(MOUVEMENTS!$I$2:$I$201,MOUVEMENTS!$C$2:$C$201,$A19,MOUVEMENTS!$H$2:$H$201,"PRESENT"))</x:f>
      </x:c>
    </x:row>
    <x:row r="20">
      <x:c r="B20" t="str">
        <x:f>IF($A20="","",COUNTIFS(MOUVEMENTS!$C$2:$C$201,$A20,MOUVEMENTS!$E$2:$E$201,"20 DV",MOUVEMENTS!$H$2:$H$201,"PRESENT"))</x:f>
      </x:c>
      <x:c r="C20" t="str">
        <x:f>IF($A20="","",COUNTIFS(MOUVEMENTS!$C$2:$C$201,$A20,MOUVEMENTS!$E$2:$E$201,"40 DV ST",MOUVEMENTS!$H$2:$H$201,"PRESENT"))</x:f>
      </x:c>
      <x:c r="D20" t="str">
        <x:f>IF($A20="","",COUNTIFS(MOUVEMENTS!$C$2:$C$201,$A20,MOUVEMENTS!$E$2:$E$201,"40 DV HC",MOUVEMENTS!$H$2:$H$201,"PRESENT"))</x:f>
      </x:c>
      <x:c r="E20" t="str">
        <x:f>IF($A20="","",COUNTIFS(MOUVEMENTS!$C$2:$C$201,$A20,MOUVEMENTS!$E$2:$E$201,"45 DV",MOUVEMENTS!$H$2:$H$201,"PRESENT"))</x:f>
      </x:c>
      <x:c r="F20" t="str">
        <x:f>IF($A20="","",SUMIFS(MOUVEMENTS!$I$2:$I$201,MOUVEMENTS!$C$2:$C$201,$A20,MOUVEMENTS!$H$2:$H$201,"PRESENT"))</x:f>
      </x:c>
    </x:row>
    <x:row r="21">
      <x:c r="B21" t="str">
        <x:f>IF($A21="","",COUNTIFS(MOUVEMENTS!$C$2:$C$201,$A21,MOUVEMENTS!$E$2:$E$201,"20 DV",MOUVEMENTS!$H$2:$H$201,"PRESENT"))</x:f>
      </x:c>
      <x:c r="C21" t="str">
        <x:f>IF($A21="","",COUNTIFS(MOUVEMENTS!$C$2:$C$201,$A21,MOUVEMENTS!$E$2:$E$201,"40 DV ST",MOUVEMENTS!$H$2:$H$201,"PRESENT"))</x:f>
      </x:c>
      <x:c r="D21" t="str">
        <x:f>IF($A21="","",COUNTIFS(MOUVEMENTS!$C$2:$C$201,$A21,MOUVEMENTS!$E$2:$E$201,"40 DV HC",MOUVEMENTS!$H$2:$H$201,"PRESENT"))</x:f>
      </x:c>
      <x:c r="E21" t="str">
        <x:f>IF($A21="","",COUNTIFS(MOUVEMENTS!$C$2:$C$201,$A21,MOUVEMENTS!$E$2:$E$201,"45 DV",MOUVEMENTS!$H$2:$H$201,"PRESENT"))</x:f>
      </x:c>
      <x:c r="F21" t="str">
        <x:f>IF($A21="","",SUMIFS(MOUVEMENTS!$I$2:$I$201,MOUVEMENTS!$C$2:$C$201,$A21,MOUVEMENTS!$H$2:$H$201,"PRESENT"))</x:f>
      </x:c>
    </x:row>
    <x:row r="22">
      <x:c r="B22" t="str">
        <x:f>IF($A22="","",COUNTIFS(MOUVEMENTS!$C$2:$C$201,$A22,MOUVEMENTS!$E$2:$E$201,"20 DV",MOUVEMENTS!$H$2:$H$201,"PRESENT"))</x:f>
      </x:c>
      <x:c r="C22" t="str">
        <x:f>IF($A22="","",COUNTIFS(MOUVEMENTS!$C$2:$C$201,$A22,MOUVEMENTS!$E$2:$E$201,"40 DV ST",MOUVEMENTS!$H$2:$H$201,"PRESENT"))</x:f>
      </x:c>
      <x:c r="D22" t="str">
        <x:f>IF($A22="","",COUNTIFS(MOUVEMENTS!$C$2:$C$201,$A22,MOUVEMENTS!$E$2:$E$201,"40 DV HC",MOUVEMENTS!$H$2:$H$201,"PRESENT"))</x:f>
      </x:c>
      <x:c r="E22" t="str">
        <x:f>IF($A22="","",COUNTIFS(MOUVEMENTS!$C$2:$C$201,$A22,MOUVEMENTS!$E$2:$E$201,"45 DV",MOUVEMENTS!$H$2:$H$201,"PRESENT"))</x:f>
      </x:c>
      <x:c r="F22" t="str">
        <x:f>IF($A22="","",SUMIFS(MOUVEMENTS!$I$2:$I$201,MOUVEMENTS!$C$2:$C$201,$A22,MOUVEMENTS!$H$2:$H$201,"PRESENT"))</x:f>
      </x:c>
    </x:row>
    <x:row r="23">
      <x:c r="B23" t="str">
        <x:f>IF($A23="","",COUNTIFS(MOUVEMENTS!$C$2:$C$201,$A23,MOUVEMENTS!$E$2:$E$201,"20 DV",MOUVEMENTS!$H$2:$H$201,"PRESENT"))</x:f>
      </x:c>
      <x:c r="C23" t="str">
        <x:f>IF($A23="","",COUNTIFS(MOUVEMENTS!$C$2:$C$201,$A23,MOUVEMENTS!$E$2:$E$201,"40 DV ST",MOUVEMENTS!$H$2:$H$201,"PRESENT"))</x:f>
      </x:c>
      <x:c r="D23" t="str">
        <x:f>IF($A23="","",COUNTIFS(MOUVEMENTS!$C$2:$C$201,$A23,MOUVEMENTS!$E$2:$E$201,"40 DV HC",MOUVEMENTS!$H$2:$H$201,"PRESENT"))</x:f>
      </x:c>
      <x:c r="E23" t="str">
        <x:f>IF($A23="","",COUNTIFS(MOUVEMENTS!$C$2:$C$201,$A23,MOUVEMENTS!$E$2:$E$201,"45 DV",MOUVEMENTS!$H$2:$H$201,"PRESENT"))</x:f>
      </x:c>
      <x:c r="F23" t="str">
        <x:f>IF($A23="","",SUMIFS(MOUVEMENTS!$I$2:$I$201,MOUVEMENTS!$C$2:$C$201,$A23,MOUVEMENTS!$H$2:$H$201,"PRESENT"))</x:f>
      </x:c>
    </x:row>
    <x:row r="24">
      <x:c r="B24" t="str">
        <x:f>IF($A24="","",COUNTIFS(MOUVEMENTS!$C$2:$C$201,$A24,MOUVEMENTS!$E$2:$E$201,"20 DV",MOUVEMENTS!$H$2:$H$201,"PRESENT"))</x:f>
      </x:c>
      <x:c r="C24" t="str">
        <x:f>IF($A24="","",COUNTIFS(MOUVEMENTS!$C$2:$C$201,$A24,MOUVEMENTS!$E$2:$E$201,"40 DV ST",MOUVEMENTS!$H$2:$H$201,"PRESENT"))</x:f>
      </x:c>
      <x:c r="D24" t="str">
        <x:f>IF($A24="","",COUNTIFS(MOUVEMENTS!$C$2:$C$201,$A24,MOUVEMENTS!$E$2:$E$201,"40 DV HC",MOUVEMENTS!$H$2:$H$201,"PRESENT"))</x:f>
      </x:c>
      <x:c r="E24" t="str">
        <x:f>IF($A24="","",COUNTIFS(MOUVEMENTS!$C$2:$C$201,$A24,MOUVEMENTS!$E$2:$E$201,"45 DV",MOUVEMENTS!$H$2:$H$201,"PRESENT"))</x:f>
      </x:c>
      <x:c r="F24" t="str">
        <x:f>IF($A24="","",SUMIFS(MOUVEMENTS!$I$2:$I$201,MOUVEMENTS!$C$2:$C$201,$A24,MOUVEMENTS!$H$2:$H$201,"PRESENT"))</x:f>
      </x:c>
    </x:row>
    <x:row r="25">
      <x:c r="B25" t="str">
        <x:f>IF($A25="","",COUNTIFS(MOUVEMENTS!$C$2:$C$201,$A25,MOUVEMENTS!$E$2:$E$201,"20 DV",MOUVEMENTS!$H$2:$H$201,"PRESENT"))</x:f>
      </x:c>
      <x:c r="C25" t="str">
        <x:f>IF($A25="","",COUNTIFS(MOUVEMENTS!$C$2:$C$201,$A25,MOUVEMENTS!$E$2:$E$201,"40 DV ST",MOUVEMENTS!$H$2:$H$201,"PRESENT"))</x:f>
      </x:c>
      <x:c r="D25" t="str">
        <x:f>IF($A25="","",COUNTIFS(MOUVEMENTS!$C$2:$C$201,$A25,MOUVEMENTS!$E$2:$E$201,"40 DV HC",MOUVEMENTS!$H$2:$H$201,"PRESENT"))</x:f>
      </x:c>
      <x:c r="E25" t="str">
        <x:f>IF($A25="","",COUNTIFS(MOUVEMENTS!$C$2:$C$201,$A25,MOUVEMENTS!$E$2:$E$201,"45 DV",MOUVEMENTS!$H$2:$H$201,"PRESENT"))</x:f>
      </x:c>
      <x:c r="F25" t="str">
        <x:f>IF($A25="","",SUMIFS(MOUVEMENTS!$I$2:$I$201,MOUVEMENTS!$C$2:$C$201,$A25,MOUVEMENTS!$H$2:$H$201,"PRESENT"))</x:f>
      </x:c>
    </x:row>
    <x:row r="26">
      <x:c r="B26" t="str">
        <x:f>IF($A26="","",COUNTIFS(MOUVEMENTS!$C$2:$C$201,$A26,MOUVEMENTS!$E$2:$E$201,"20 DV",MOUVEMENTS!$H$2:$H$201,"PRESENT"))</x:f>
      </x:c>
      <x:c r="C26" t="str">
        <x:f>IF($A26="","",COUNTIFS(MOUVEMENTS!$C$2:$C$201,$A26,MOUVEMENTS!$E$2:$E$201,"40 DV ST",MOUVEMENTS!$H$2:$H$201,"PRESENT"))</x:f>
      </x:c>
      <x:c r="D26" t="str">
        <x:f>IF($A26="","",COUNTIFS(MOUVEMENTS!$C$2:$C$201,$A26,MOUVEMENTS!$E$2:$E$201,"40 DV HC",MOUVEMENTS!$H$2:$H$201,"PRESENT"))</x:f>
      </x:c>
      <x:c r="E26" t="str">
        <x:f>IF($A26="","",COUNTIFS(MOUVEMENTS!$C$2:$C$201,$A26,MOUVEMENTS!$E$2:$E$201,"45 DV",MOUVEMENTS!$H$2:$H$201,"PRESENT"))</x:f>
      </x:c>
      <x:c r="F26" t="str">
        <x:f>IF($A26="","",SUMIFS(MOUVEMENTS!$I$2:$I$201,MOUVEMENTS!$C$2:$C$201,$A26,MOUVEMENTS!$H$2:$H$201,"PRESENT"))</x:f>
      </x:c>
    </x:row>
    <x:row r="27">
      <x:c r="B27" t="str">
        <x:f>IF($A27="","",COUNTIFS(MOUVEMENTS!$C$2:$C$201,$A27,MOUVEMENTS!$E$2:$E$201,"20 DV",MOUVEMENTS!$H$2:$H$201,"PRESENT"))</x:f>
      </x:c>
      <x:c r="C27" t="str">
        <x:f>IF($A27="","",COUNTIFS(MOUVEMENTS!$C$2:$C$201,$A27,MOUVEMENTS!$E$2:$E$201,"40 DV ST",MOUVEMENTS!$H$2:$H$201,"PRESENT"))</x:f>
      </x:c>
      <x:c r="D27" t="str">
        <x:f>IF($A27="","",COUNTIFS(MOUVEMENTS!$C$2:$C$201,$A27,MOUVEMENTS!$E$2:$E$201,"40 DV HC",MOUVEMENTS!$H$2:$H$201,"PRESENT"))</x:f>
      </x:c>
      <x:c r="E27" t="str">
        <x:f>IF($A27="","",COUNTIFS(MOUVEMENTS!$C$2:$C$201,$A27,MOUVEMENTS!$E$2:$E$201,"45 DV",MOUVEMENTS!$H$2:$H$201,"PRESENT"))</x:f>
      </x:c>
      <x:c r="F27" t="str">
        <x:f>IF($A27="","",SUMIFS(MOUVEMENTS!$I$2:$I$201,MOUVEMENTS!$C$2:$C$201,$A27,MOUVEMENTS!$H$2:$H$201,"PRESENT"))</x:f>
      </x:c>
    </x:row>
    <x:row r="28">
      <x:c r="B28" t="str">
        <x:f>IF($A28="","",COUNTIFS(MOUVEMENTS!$C$2:$C$201,$A28,MOUVEMENTS!$E$2:$E$201,"20 DV",MOUVEMENTS!$H$2:$H$201,"PRESENT"))</x:f>
      </x:c>
      <x:c r="C28" t="str">
        <x:f>IF($A28="","",COUNTIFS(MOUVEMENTS!$C$2:$C$201,$A28,MOUVEMENTS!$E$2:$E$201,"40 DV ST",MOUVEMENTS!$H$2:$H$201,"PRESENT"))</x:f>
      </x:c>
      <x:c r="D28" t="str">
        <x:f>IF($A28="","",COUNTIFS(MOUVEMENTS!$C$2:$C$201,$A28,MOUVEMENTS!$E$2:$E$201,"40 DV HC",MOUVEMENTS!$H$2:$H$201,"PRESENT"))</x:f>
      </x:c>
      <x:c r="E28" t="str">
        <x:f>IF($A28="","",COUNTIFS(MOUVEMENTS!$C$2:$C$201,$A28,MOUVEMENTS!$E$2:$E$201,"45 DV",MOUVEMENTS!$H$2:$H$201,"PRESENT"))</x:f>
      </x:c>
      <x:c r="F28" t="str">
        <x:f>IF($A28="","",SUMIFS(MOUVEMENTS!$I$2:$I$201,MOUVEMENTS!$C$2:$C$201,$A28,MOUVEMENTS!$H$2:$H$201,"PRESENT"))</x:f>
      </x:c>
    </x:row>
    <x:row r="29">
      <x:c r="B29" t="str">
        <x:f>IF($A29="","",COUNTIFS(MOUVEMENTS!$C$2:$C$201,$A29,MOUVEMENTS!$E$2:$E$201,"20 DV",MOUVEMENTS!$H$2:$H$201,"PRESENT"))</x:f>
      </x:c>
      <x:c r="C29" t="str">
        <x:f>IF($A29="","",COUNTIFS(MOUVEMENTS!$C$2:$C$201,$A29,MOUVEMENTS!$E$2:$E$201,"40 DV ST",MOUVEMENTS!$H$2:$H$201,"PRESENT"))</x:f>
      </x:c>
      <x:c r="D29" t="str">
        <x:f>IF($A29="","",COUNTIFS(MOUVEMENTS!$C$2:$C$201,$A29,MOUVEMENTS!$E$2:$E$201,"40 DV HC",MOUVEMENTS!$H$2:$H$201,"PRESENT"))</x:f>
      </x:c>
      <x:c r="E29" t="str">
        <x:f>IF($A29="","",COUNTIFS(MOUVEMENTS!$C$2:$C$201,$A29,MOUVEMENTS!$E$2:$E$201,"45 DV",MOUVEMENTS!$H$2:$H$201,"PRESENT"))</x:f>
      </x:c>
      <x:c r="F29" t="str">
        <x:f>IF($A29="","",SUMIFS(MOUVEMENTS!$I$2:$I$201,MOUVEMENTS!$C$2:$C$201,$A29,MOUVEMENTS!$H$2:$H$201,"PRESENT"))</x:f>
      </x:c>
    </x:row>
    <x:row r="30">
      <x:c r="B30" t="str">
        <x:f>IF($A30="","",COUNTIFS(MOUVEMENTS!$C$2:$C$201,$A30,MOUVEMENTS!$E$2:$E$201,"20 DV",MOUVEMENTS!$H$2:$H$201,"PRESENT"))</x:f>
      </x:c>
      <x:c r="C30" t="str">
        <x:f>IF($A30="","",COUNTIFS(MOUVEMENTS!$C$2:$C$201,$A30,MOUVEMENTS!$E$2:$E$201,"40 DV ST",MOUVEMENTS!$H$2:$H$201,"PRESENT"))</x:f>
      </x:c>
      <x:c r="D30" t="str">
        <x:f>IF($A30="","",COUNTIFS(MOUVEMENTS!$C$2:$C$201,$A30,MOUVEMENTS!$E$2:$E$201,"40 DV HC",MOUVEMENTS!$H$2:$H$201,"PRESENT"))</x:f>
      </x:c>
      <x:c r="E30" t="str">
        <x:f>IF($A30="","",COUNTIFS(MOUVEMENTS!$C$2:$C$201,$A30,MOUVEMENTS!$E$2:$E$201,"45 DV",MOUVEMENTS!$H$2:$H$201,"PRESENT"))</x:f>
      </x:c>
      <x:c r="F30" t="str">
        <x:f>IF($A30="","",SUMIFS(MOUVEMENTS!$I$2:$I$201,MOUVEMENTS!$C$2:$C$201,$A30,MOUVEMENTS!$H$2:$H$201,"PRESENT"))</x:f>
      </x:c>
    </x:row>
    <x:row r="31">
      <x:c r="B31" t="str">
        <x:f>IF($A31="","",COUNTIFS(MOUVEMENTS!$C$2:$C$201,$A31,MOUVEMENTS!$E$2:$E$201,"20 DV",MOUVEMENTS!$H$2:$H$201,"PRESENT"))</x:f>
      </x:c>
      <x:c r="C31" t="str">
        <x:f>IF($A31="","",COUNTIFS(MOUVEMENTS!$C$2:$C$201,$A31,MOUVEMENTS!$E$2:$E$201,"40 DV ST",MOUVEMENTS!$H$2:$H$201,"PRESENT"))</x:f>
      </x:c>
      <x:c r="D31" t="str">
        <x:f>IF($A31="","",COUNTIFS(MOUVEMENTS!$C$2:$C$201,$A31,MOUVEMENTS!$E$2:$E$201,"40 DV HC",MOUVEMENTS!$H$2:$H$201,"PRESENT"))</x:f>
      </x:c>
      <x:c r="E31" t="str">
        <x:f>IF($A31="","",COUNTIFS(MOUVEMENTS!$C$2:$C$201,$A31,MOUVEMENTS!$E$2:$E$201,"45 DV",MOUVEMENTS!$H$2:$H$201,"PRESENT"))</x:f>
      </x:c>
      <x:c r="F31" t="str">
        <x:f>IF($A31="","",SUMIFS(MOUVEMENTS!$I$2:$I$201,MOUVEMENTS!$C$2:$C$201,$A31,MOUVEMENTS!$H$2:$H$201,"PRESENT"))</x:f>
      </x:c>
    </x:row>
    <x:row r="32">
      <x:c r="B32" t="str">
        <x:f>IF($A32="","",COUNTIFS(MOUVEMENTS!$C$2:$C$201,$A32,MOUVEMENTS!$E$2:$E$201,"20 DV",MOUVEMENTS!$H$2:$H$201,"PRESENT"))</x:f>
      </x:c>
      <x:c r="C32" t="str">
        <x:f>IF($A32="","",COUNTIFS(MOUVEMENTS!$C$2:$C$201,$A32,MOUVEMENTS!$E$2:$E$201,"40 DV ST",MOUVEMENTS!$H$2:$H$201,"PRESENT"))</x:f>
      </x:c>
      <x:c r="D32" t="str">
        <x:f>IF($A32="","",COUNTIFS(MOUVEMENTS!$C$2:$C$201,$A32,MOUVEMENTS!$E$2:$E$201,"40 DV HC",MOUVEMENTS!$H$2:$H$201,"PRESENT"))</x:f>
      </x:c>
      <x:c r="E32" t="str">
        <x:f>IF($A32="","",COUNTIFS(MOUVEMENTS!$C$2:$C$201,$A32,MOUVEMENTS!$E$2:$E$201,"45 DV",MOUVEMENTS!$H$2:$H$201,"PRESENT"))</x:f>
      </x:c>
      <x:c r="F32" t="str">
        <x:f>IF($A32="","",SUMIFS(MOUVEMENTS!$I$2:$I$201,MOUVEMENTS!$C$2:$C$201,$A32,MOUVEMENTS!$H$2:$H$201,"PRESENT"))</x:f>
      </x:c>
    </x:row>
    <x:row r="33">
      <x:c r="B33" t="str">
        <x:f>IF($A33="","",COUNTIFS(MOUVEMENTS!$C$2:$C$201,$A33,MOUVEMENTS!$E$2:$E$201,"20 DV",MOUVEMENTS!$H$2:$H$201,"PRESENT"))</x:f>
      </x:c>
      <x:c r="C33" t="str">
        <x:f>IF($A33="","",COUNTIFS(MOUVEMENTS!$C$2:$C$201,$A33,MOUVEMENTS!$E$2:$E$201,"40 DV ST",MOUVEMENTS!$H$2:$H$201,"PRESENT"))</x:f>
      </x:c>
      <x:c r="D33" t="str">
        <x:f>IF($A33="","",COUNTIFS(MOUVEMENTS!$C$2:$C$201,$A33,MOUVEMENTS!$E$2:$E$201,"40 DV HC",MOUVEMENTS!$H$2:$H$201,"PRESENT"))</x:f>
      </x:c>
      <x:c r="E33" t="str">
        <x:f>IF($A33="","",COUNTIFS(MOUVEMENTS!$C$2:$C$201,$A33,MOUVEMENTS!$E$2:$E$201,"45 DV",MOUVEMENTS!$H$2:$H$201,"PRESENT"))</x:f>
      </x:c>
      <x:c r="F33" t="str">
        <x:f>IF($A33="","",SUMIFS(MOUVEMENTS!$I$2:$I$201,MOUVEMENTS!$C$2:$C$201,$A33,MOUVEMENTS!$H$2:$H$201,"PRESENT"))</x:f>
      </x:c>
    </x:row>
    <x:row r="34">
      <x:c r="B34" t="str">
        <x:f>IF($A34="","",COUNTIFS(MOUVEMENTS!$C$2:$C$201,$A34,MOUVEMENTS!$E$2:$E$201,"20 DV",MOUVEMENTS!$H$2:$H$201,"PRESENT"))</x:f>
      </x:c>
      <x:c r="C34" t="str">
        <x:f>IF($A34="","",COUNTIFS(MOUVEMENTS!$C$2:$C$201,$A34,MOUVEMENTS!$E$2:$E$201,"40 DV ST",MOUVEMENTS!$H$2:$H$201,"PRESENT"))</x:f>
      </x:c>
      <x:c r="D34" t="str">
        <x:f>IF($A34="","",COUNTIFS(MOUVEMENTS!$C$2:$C$201,$A34,MOUVEMENTS!$E$2:$E$201,"40 DV HC",MOUVEMENTS!$H$2:$H$201,"PRESENT"))</x:f>
      </x:c>
      <x:c r="E34" t="str">
        <x:f>IF($A34="","",COUNTIFS(MOUVEMENTS!$C$2:$C$201,$A34,MOUVEMENTS!$E$2:$E$201,"45 DV",MOUVEMENTS!$H$2:$H$201,"PRESENT"))</x:f>
      </x:c>
      <x:c r="F34" t="str">
        <x:f>IF($A34="","",SUMIFS(MOUVEMENTS!$I$2:$I$201,MOUVEMENTS!$C$2:$C$201,$A34,MOUVEMENTS!$H$2:$H$201,"PRESENT"))</x:f>
      </x:c>
    </x:row>
    <x:row r="35">
      <x:c r="B35" t="str">
        <x:f>IF($A35="","",COUNTIFS(MOUVEMENTS!$C$2:$C$201,$A35,MOUVEMENTS!$E$2:$E$201,"20 DV",MOUVEMENTS!$H$2:$H$201,"PRESENT"))</x:f>
      </x:c>
      <x:c r="C35" t="str">
        <x:f>IF($A35="","",COUNTIFS(MOUVEMENTS!$C$2:$C$201,$A35,MOUVEMENTS!$E$2:$E$201,"40 DV ST",MOUVEMENTS!$H$2:$H$201,"PRESENT"))</x:f>
      </x:c>
      <x:c r="D35" t="str">
        <x:f>IF($A35="","",COUNTIFS(MOUVEMENTS!$C$2:$C$201,$A35,MOUVEMENTS!$E$2:$E$201,"40 DV HC",MOUVEMENTS!$H$2:$H$201,"PRESENT"))</x:f>
      </x:c>
      <x:c r="E35" t="str">
        <x:f>IF($A35="","",COUNTIFS(MOUVEMENTS!$C$2:$C$201,$A35,MOUVEMENTS!$E$2:$E$201,"45 DV",MOUVEMENTS!$H$2:$H$201,"PRESENT"))</x:f>
      </x:c>
      <x:c r="F35" t="str">
        <x:f>IF($A35="","",SUMIFS(MOUVEMENTS!$I$2:$I$201,MOUVEMENTS!$C$2:$C$201,$A35,MOUVEMENTS!$H$2:$H$201,"PRESENT"))</x:f>
      </x:c>
    </x:row>
    <x:row r="36">
      <x:c r="B36" t="str">
        <x:f>IF($A36="","",COUNTIFS(MOUVEMENTS!$C$2:$C$201,$A36,MOUVEMENTS!$E$2:$E$201,"20 DV",MOUVEMENTS!$H$2:$H$201,"PRESENT"))</x:f>
      </x:c>
      <x:c r="C36" t="str">
        <x:f>IF($A36="","",COUNTIFS(MOUVEMENTS!$C$2:$C$201,$A36,MOUVEMENTS!$E$2:$E$201,"40 DV ST",MOUVEMENTS!$H$2:$H$201,"PRESENT"))</x:f>
      </x:c>
      <x:c r="D36" t="str">
        <x:f>IF($A36="","",COUNTIFS(MOUVEMENTS!$C$2:$C$201,$A36,MOUVEMENTS!$E$2:$E$201,"40 DV HC",MOUVEMENTS!$H$2:$H$201,"PRESENT"))</x:f>
      </x:c>
      <x:c r="E36" t="str">
        <x:f>IF($A36="","",COUNTIFS(MOUVEMENTS!$C$2:$C$201,$A36,MOUVEMENTS!$E$2:$E$201,"45 DV",MOUVEMENTS!$H$2:$H$201,"PRESENT"))</x:f>
      </x:c>
      <x:c r="F36" t="str">
        <x:f>IF($A36="","",SUMIFS(MOUVEMENTS!$I$2:$I$201,MOUVEMENTS!$C$2:$C$201,$A36,MOUVEMENTS!$H$2:$H$201,"PRESENT"))</x:f>
      </x:c>
    </x:row>
    <x:row r="37">
      <x:c r="B37" t="str">
        <x:f>IF($A37="","",COUNTIFS(MOUVEMENTS!$C$2:$C$201,$A37,MOUVEMENTS!$E$2:$E$201,"20 DV",MOUVEMENTS!$H$2:$H$201,"PRESENT"))</x:f>
      </x:c>
      <x:c r="C37" t="str">
        <x:f>IF($A37="","",COUNTIFS(MOUVEMENTS!$C$2:$C$201,$A37,MOUVEMENTS!$E$2:$E$201,"40 DV ST",MOUVEMENTS!$H$2:$H$201,"PRESENT"))</x:f>
      </x:c>
      <x:c r="D37" t="str">
        <x:f>IF($A37="","",COUNTIFS(MOUVEMENTS!$C$2:$C$201,$A37,MOUVEMENTS!$E$2:$E$201,"40 DV HC",MOUVEMENTS!$H$2:$H$201,"PRESENT"))</x:f>
      </x:c>
      <x:c r="E37" t="str">
        <x:f>IF($A37="","",COUNTIFS(MOUVEMENTS!$C$2:$C$201,$A37,MOUVEMENTS!$E$2:$E$201,"45 DV",MOUVEMENTS!$H$2:$H$201,"PRESENT"))</x:f>
      </x:c>
      <x:c r="F37" t="str">
        <x:f>IF($A37="","",SUMIFS(MOUVEMENTS!$I$2:$I$201,MOUVEMENTS!$C$2:$C$201,$A37,MOUVEMENTS!$H$2:$H$201,"PRESENT"))</x:f>
      </x:c>
    </x:row>
    <x:row r="38">
      <x:c r="B38" t="str">
        <x:f>IF($A38="","",COUNTIFS(MOUVEMENTS!$C$2:$C$201,$A38,MOUVEMENTS!$E$2:$E$201,"20 DV",MOUVEMENTS!$H$2:$H$201,"PRESENT"))</x:f>
      </x:c>
      <x:c r="C38" t="str">
        <x:f>IF($A38="","",COUNTIFS(MOUVEMENTS!$C$2:$C$201,$A38,MOUVEMENTS!$E$2:$E$201,"40 DV ST",MOUVEMENTS!$H$2:$H$201,"PRESENT"))</x:f>
      </x:c>
      <x:c r="D38" t="str">
        <x:f>IF($A38="","",COUNTIFS(MOUVEMENTS!$C$2:$C$201,$A38,MOUVEMENTS!$E$2:$E$201,"40 DV HC",MOUVEMENTS!$H$2:$H$201,"PRESENT"))</x:f>
      </x:c>
      <x:c r="E38" t="str">
        <x:f>IF($A38="","",COUNTIFS(MOUVEMENTS!$C$2:$C$201,$A38,MOUVEMENTS!$E$2:$E$201,"45 DV",MOUVEMENTS!$H$2:$H$201,"PRESENT"))</x:f>
      </x:c>
      <x:c r="F38" t="str">
        <x:f>IF($A38="","",SUMIFS(MOUVEMENTS!$I$2:$I$201,MOUVEMENTS!$C$2:$C$201,$A38,MOUVEMENTS!$H$2:$H$201,"PRESENT"))</x:f>
      </x:c>
    </x:row>
    <x:row r="39">
      <x:c r="B39" t="str">
        <x:f>IF($A39="","",COUNTIFS(MOUVEMENTS!$C$2:$C$201,$A39,MOUVEMENTS!$E$2:$E$201,"20 DV",MOUVEMENTS!$H$2:$H$201,"PRESENT"))</x:f>
      </x:c>
      <x:c r="C39" t="str">
        <x:f>IF($A39="","",COUNTIFS(MOUVEMENTS!$C$2:$C$201,$A39,MOUVEMENTS!$E$2:$E$201,"40 DV ST",MOUVEMENTS!$H$2:$H$201,"PRESENT"))</x:f>
      </x:c>
      <x:c r="D39" t="str">
        <x:f>IF($A39="","",COUNTIFS(MOUVEMENTS!$C$2:$C$201,$A39,MOUVEMENTS!$E$2:$E$201,"40 DV HC",MOUVEMENTS!$H$2:$H$201,"PRESENT"))</x:f>
      </x:c>
      <x:c r="E39" t="str">
        <x:f>IF($A39="","",COUNTIFS(MOUVEMENTS!$C$2:$C$201,$A39,MOUVEMENTS!$E$2:$E$201,"45 DV",MOUVEMENTS!$H$2:$H$201,"PRESENT"))</x:f>
      </x:c>
      <x:c r="F39" t="str">
        <x:f>IF($A39="","",SUMIFS(MOUVEMENTS!$I$2:$I$201,MOUVEMENTS!$C$2:$C$201,$A39,MOUVEMENTS!$H$2:$H$201,"PRESENT"))</x:f>
      </x:c>
    </x:row>
    <x:row r="40">
      <x:c r="B40" t="str">
        <x:f>IF($A40="","",COUNTIFS(MOUVEMENTS!$C$2:$C$201,$A40,MOUVEMENTS!$E$2:$E$201,"20 DV",MOUVEMENTS!$H$2:$H$201,"PRESENT"))</x:f>
      </x:c>
      <x:c r="C40" t="str">
        <x:f>IF($A40="","",COUNTIFS(MOUVEMENTS!$C$2:$C$201,$A40,MOUVEMENTS!$E$2:$E$201,"40 DV ST",MOUVEMENTS!$H$2:$H$201,"PRESENT"))</x:f>
      </x:c>
      <x:c r="D40" t="str">
        <x:f>IF($A40="","",COUNTIFS(MOUVEMENTS!$C$2:$C$201,$A40,MOUVEMENTS!$E$2:$E$201,"40 DV HC",MOUVEMENTS!$H$2:$H$201,"PRESENT"))</x:f>
      </x:c>
      <x:c r="E40" t="str">
        <x:f>IF($A40="","",COUNTIFS(MOUVEMENTS!$C$2:$C$201,$A40,MOUVEMENTS!$E$2:$E$201,"45 DV",MOUVEMENTS!$H$2:$H$201,"PRESENT"))</x:f>
      </x:c>
      <x:c r="F40" t="str">
        <x:f>IF($A40="","",SUMIFS(MOUVEMENTS!$I$2:$I$201,MOUVEMENTS!$C$2:$C$201,$A40,MOUVEMENTS!$H$2:$H$201,"PRESENT"))</x:f>
      </x:c>
    </x:row>
    <x:row r="41">
      <x:c r="B41" t="str">
        <x:f>IF($A41="","",COUNTIFS(MOUVEMENTS!$C$2:$C$201,$A41,MOUVEMENTS!$E$2:$E$201,"20 DV",MOUVEMENTS!$H$2:$H$201,"PRESENT"))</x:f>
      </x:c>
      <x:c r="C41" t="str">
        <x:f>IF($A41="","",COUNTIFS(MOUVEMENTS!$C$2:$C$201,$A41,MOUVEMENTS!$E$2:$E$201,"40 DV ST",MOUVEMENTS!$H$2:$H$201,"PRESENT"))</x:f>
      </x:c>
      <x:c r="D41" t="str">
        <x:f>IF($A41="","",COUNTIFS(MOUVEMENTS!$C$2:$C$201,$A41,MOUVEMENTS!$E$2:$E$201,"40 DV HC",MOUVEMENTS!$H$2:$H$201,"PRESENT"))</x:f>
      </x:c>
      <x:c r="E41" t="str">
        <x:f>IF($A41="","",COUNTIFS(MOUVEMENTS!$C$2:$C$201,$A41,MOUVEMENTS!$E$2:$E$201,"45 DV",MOUVEMENTS!$H$2:$H$201,"PRESENT"))</x:f>
      </x:c>
      <x:c r="F41" t="str">
        <x:f>IF($A41="","",SUMIFS(MOUVEMENTS!$I$2:$I$201,MOUVEMENTS!$C$2:$C$201,$A41,MOUVEMENTS!$H$2:$H$201,"PRESENT"))</x:f>
      </x:c>
    </x:row>
    <x:row r="42">
      <x:c r="B42" t="str">
        <x:f>IF($A42="","",COUNTIFS(MOUVEMENTS!$C$2:$C$201,$A42,MOUVEMENTS!$E$2:$E$201,"20 DV",MOUVEMENTS!$H$2:$H$201,"PRESENT"))</x:f>
      </x:c>
      <x:c r="C42" t="str">
        <x:f>IF($A42="","",COUNTIFS(MOUVEMENTS!$C$2:$C$201,$A42,MOUVEMENTS!$E$2:$E$201,"40 DV ST",MOUVEMENTS!$H$2:$H$201,"PRESENT"))</x:f>
      </x:c>
      <x:c r="D42" t="str">
        <x:f>IF($A42="","",COUNTIFS(MOUVEMENTS!$C$2:$C$201,$A42,MOUVEMENTS!$E$2:$E$201,"40 DV HC",MOUVEMENTS!$H$2:$H$201,"PRESENT"))</x:f>
      </x:c>
      <x:c r="E42" t="str">
        <x:f>IF($A42="","",COUNTIFS(MOUVEMENTS!$C$2:$C$201,$A42,MOUVEMENTS!$E$2:$E$201,"45 DV",MOUVEMENTS!$H$2:$H$201,"PRESENT"))</x:f>
      </x:c>
      <x:c r="F42" t="str">
        <x:f>IF($A42="","",SUMIFS(MOUVEMENTS!$I$2:$I$201,MOUVEMENTS!$C$2:$C$201,$A42,MOUVEMENTS!$H$2:$H$201,"PRESENT"))</x:f>
      </x:c>
    </x:row>
    <x:row r="43">
      <x:c r="B43" t="str">
        <x:f>IF($A43="","",COUNTIFS(MOUVEMENTS!$C$2:$C$201,$A43,MOUVEMENTS!$E$2:$E$201,"20 DV",MOUVEMENTS!$H$2:$H$201,"PRESENT"))</x:f>
      </x:c>
      <x:c r="C43" t="str">
        <x:f>IF($A43="","",COUNTIFS(MOUVEMENTS!$C$2:$C$201,$A43,MOUVEMENTS!$E$2:$E$201,"40 DV ST",MOUVEMENTS!$H$2:$H$201,"PRESENT"))</x:f>
      </x:c>
      <x:c r="D43" t="str">
        <x:f>IF($A43="","",COUNTIFS(MOUVEMENTS!$C$2:$C$201,$A43,MOUVEMENTS!$E$2:$E$201,"40 DV HC",MOUVEMENTS!$H$2:$H$201,"PRESENT"))</x:f>
      </x:c>
      <x:c r="E43" t="str">
        <x:f>IF($A43="","",COUNTIFS(MOUVEMENTS!$C$2:$C$201,$A43,MOUVEMENTS!$E$2:$E$201,"45 DV",MOUVEMENTS!$H$2:$H$201,"PRESENT"))</x:f>
      </x:c>
      <x:c r="F43" t="str">
        <x:f>IF($A43="","",SUMIFS(MOUVEMENTS!$I$2:$I$201,MOUVEMENTS!$C$2:$C$201,$A43,MOUVEMENTS!$H$2:$H$201,"PRESENT"))</x:f>
      </x:c>
    </x:row>
    <x:row r="44">
      <x:c r="B44" t="str">
        <x:f>IF($A44="","",COUNTIFS(MOUVEMENTS!$C$2:$C$201,$A44,MOUVEMENTS!$E$2:$E$201,"20 DV",MOUVEMENTS!$H$2:$H$201,"PRESENT"))</x:f>
      </x:c>
      <x:c r="C44" t="str">
        <x:f>IF($A44="","",COUNTIFS(MOUVEMENTS!$C$2:$C$201,$A44,MOUVEMENTS!$E$2:$E$201,"40 DV ST",MOUVEMENTS!$H$2:$H$201,"PRESENT"))</x:f>
      </x:c>
      <x:c r="D44" t="str">
        <x:f>IF($A44="","",COUNTIFS(MOUVEMENTS!$C$2:$C$201,$A44,MOUVEMENTS!$E$2:$E$201,"40 DV HC",MOUVEMENTS!$H$2:$H$201,"PRESENT"))</x:f>
      </x:c>
      <x:c r="E44" t="str">
        <x:f>IF($A44="","",COUNTIFS(MOUVEMENTS!$C$2:$C$201,$A44,MOUVEMENTS!$E$2:$E$201,"45 DV",MOUVEMENTS!$H$2:$H$201,"PRESENT"))</x:f>
      </x:c>
      <x:c r="F44" t="str">
        <x:f>IF($A44="","",SUMIFS(MOUVEMENTS!$I$2:$I$201,MOUVEMENTS!$C$2:$C$201,$A44,MOUVEMENTS!$H$2:$H$201,"PRESENT"))</x:f>
      </x:c>
    </x:row>
    <x:row r="45">
      <x:c r="B45" t="str">
        <x:f>IF($A45="","",COUNTIFS(MOUVEMENTS!$C$2:$C$201,$A45,MOUVEMENTS!$E$2:$E$201,"20 DV",MOUVEMENTS!$H$2:$H$201,"PRESENT"))</x:f>
      </x:c>
      <x:c r="C45" t="str">
        <x:f>IF($A45="","",COUNTIFS(MOUVEMENTS!$C$2:$C$201,$A45,MOUVEMENTS!$E$2:$E$201,"40 DV ST",MOUVEMENTS!$H$2:$H$201,"PRESENT"))</x:f>
      </x:c>
      <x:c r="D45" t="str">
        <x:f>IF($A45="","",COUNTIFS(MOUVEMENTS!$C$2:$C$201,$A45,MOUVEMENTS!$E$2:$E$201,"40 DV HC",MOUVEMENTS!$H$2:$H$201,"PRESENT"))</x:f>
      </x:c>
      <x:c r="E45" t="str">
        <x:f>IF($A45="","",COUNTIFS(MOUVEMENTS!$C$2:$C$201,$A45,MOUVEMENTS!$E$2:$E$201,"45 DV",MOUVEMENTS!$H$2:$H$201,"PRESENT"))</x:f>
      </x:c>
      <x:c r="F45" t="str">
        <x:f>IF($A45="","",SUMIFS(MOUVEMENTS!$I$2:$I$201,MOUVEMENTS!$C$2:$C$201,$A45,MOUVEMENTS!$H$2:$H$201,"PRESENT"))</x:f>
      </x:c>
    </x:row>
    <x:row r="46">
      <x:c r="B46" t="str">
        <x:f>IF($A46="","",COUNTIFS(MOUVEMENTS!$C$2:$C$201,$A46,MOUVEMENTS!$E$2:$E$201,"20 DV",MOUVEMENTS!$H$2:$H$201,"PRESENT"))</x:f>
      </x:c>
      <x:c r="C46" t="str">
        <x:f>IF($A46="","",COUNTIFS(MOUVEMENTS!$C$2:$C$201,$A46,MOUVEMENTS!$E$2:$E$201,"40 DV ST",MOUVEMENTS!$H$2:$H$201,"PRESENT"))</x:f>
      </x:c>
      <x:c r="D46" t="str">
        <x:f>IF($A46="","",COUNTIFS(MOUVEMENTS!$C$2:$C$201,$A46,MOUVEMENTS!$E$2:$E$201,"40 DV HC",MOUVEMENTS!$H$2:$H$201,"PRESENT"))</x:f>
      </x:c>
      <x:c r="E46" t="str">
        <x:f>IF($A46="","",COUNTIFS(MOUVEMENTS!$C$2:$C$201,$A46,MOUVEMENTS!$E$2:$E$201,"45 DV",MOUVEMENTS!$H$2:$H$201,"PRESENT"))</x:f>
      </x:c>
      <x:c r="F46" t="str">
        <x:f>IF($A46="","",SUMIFS(MOUVEMENTS!$I$2:$I$201,MOUVEMENTS!$C$2:$C$201,$A46,MOUVEMENTS!$H$2:$H$201,"PRESENT"))</x:f>
      </x:c>
    </x:row>
    <x:row r="47">
      <x:c r="B47" t="str">
        <x:f>IF($A47="","",COUNTIFS(MOUVEMENTS!$C$2:$C$201,$A47,MOUVEMENTS!$E$2:$E$201,"20 DV",MOUVEMENTS!$H$2:$H$201,"PRESENT"))</x:f>
      </x:c>
      <x:c r="C47" t="str">
        <x:f>IF($A47="","",COUNTIFS(MOUVEMENTS!$C$2:$C$201,$A47,MOUVEMENTS!$E$2:$E$201,"40 DV ST",MOUVEMENTS!$H$2:$H$201,"PRESENT"))</x:f>
      </x:c>
      <x:c r="D47" t="str">
        <x:f>IF($A47="","",COUNTIFS(MOUVEMENTS!$C$2:$C$201,$A47,MOUVEMENTS!$E$2:$E$201,"40 DV HC",MOUVEMENTS!$H$2:$H$201,"PRESENT"))</x:f>
      </x:c>
      <x:c r="E47" t="str">
        <x:f>IF($A47="","",COUNTIFS(MOUVEMENTS!$C$2:$C$201,$A47,MOUVEMENTS!$E$2:$E$201,"45 DV",MOUVEMENTS!$H$2:$H$201,"PRESENT"))</x:f>
      </x:c>
      <x:c r="F47" t="str">
        <x:f>IF($A47="","",SUMIFS(MOUVEMENTS!$I$2:$I$201,MOUVEMENTS!$C$2:$C$201,$A47,MOUVEMENTS!$H$2:$H$201,"PRESENT"))</x:f>
      </x:c>
    </x:row>
    <x:row r="48">
      <x:c r="B48" t="str">
        <x:f>IF($A48="","",COUNTIFS(MOUVEMENTS!$C$2:$C$201,$A48,MOUVEMENTS!$E$2:$E$201,"20 DV",MOUVEMENTS!$H$2:$H$201,"PRESENT"))</x:f>
      </x:c>
      <x:c r="C48" t="str">
        <x:f>IF($A48="","",COUNTIFS(MOUVEMENTS!$C$2:$C$201,$A48,MOUVEMENTS!$E$2:$E$201,"40 DV ST",MOUVEMENTS!$H$2:$H$201,"PRESENT"))</x:f>
      </x:c>
      <x:c r="D48" t="str">
        <x:f>IF($A48="","",COUNTIFS(MOUVEMENTS!$C$2:$C$201,$A48,MOUVEMENTS!$E$2:$E$201,"40 DV HC",MOUVEMENTS!$H$2:$H$201,"PRESENT"))</x:f>
      </x:c>
      <x:c r="E48" t="str">
        <x:f>IF($A48="","",COUNTIFS(MOUVEMENTS!$C$2:$C$201,$A48,MOUVEMENTS!$E$2:$E$201,"45 DV",MOUVEMENTS!$H$2:$H$201,"PRESENT"))</x:f>
      </x:c>
      <x:c r="F48" t="str">
        <x:f>IF($A48="","",SUMIFS(MOUVEMENTS!$I$2:$I$201,MOUVEMENTS!$C$2:$C$201,$A48,MOUVEMENTS!$H$2:$H$201,"PRESENT"))</x:f>
      </x:c>
    </x:row>
    <x:row r="49">
      <x:c r="B49" t="str">
        <x:f>IF($A49="","",COUNTIFS(MOUVEMENTS!$C$2:$C$201,$A49,MOUVEMENTS!$E$2:$E$201,"20 DV",MOUVEMENTS!$H$2:$H$201,"PRESENT"))</x:f>
      </x:c>
      <x:c r="C49" t="str">
        <x:f>IF($A49="","",COUNTIFS(MOUVEMENTS!$C$2:$C$201,$A49,MOUVEMENTS!$E$2:$E$201,"40 DV ST",MOUVEMENTS!$H$2:$H$201,"PRESENT"))</x:f>
      </x:c>
      <x:c r="D49" t="str">
        <x:f>IF($A49="","",COUNTIFS(MOUVEMENTS!$C$2:$C$201,$A49,MOUVEMENTS!$E$2:$E$201,"40 DV HC",MOUVEMENTS!$H$2:$H$201,"PRESENT"))</x:f>
      </x:c>
      <x:c r="E49" t="str">
        <x:f>IF($A49="","",COUNTIFS(MOUVEMENTS!$C$2:$C$201,$A49,MOUVEMENTS!$E$2:$E$201,"45 DV",MOUVEMENTS!$H$2:$H$201,"PRESENT"))</x:f>
      </x:c>
      <x:c r="F49" t="str">
        <x:f>IF($A49="","",SUMIFS(MOUVEMENTS!$I$2:$I$201,MOUVEMENTS!$C$2:$C$201,$A49,MOUVEMENTS!$H$2:$H$201,"PRESENT"))</x:f>
      </x:c>
    </x:row>
    <x:row r="50">
      <x:c r="B50" t="str">
        <x:f>IF($A50="","",COUNTIFS(MOUVEMENTS!$C$2:$C$201,$A50,MOUVEMENTS!$E$2:$E$201,"20 DV",MOUVEMENTS!$H$2:$H$201,"PRESENT"))</x:f>
      </x:c>
      <x:c r="C50" t="str">
        <x:f>IF($A50="","",COUNTIFS(MOUVEMENTS!$C$2:$C$201,$A50,MOUVEMENTS!$E$2:$E$201,"40 DV ST",MOUVEMENTS!$H$2:$H$201,"PRESENT"))</x:f>
      </x:c>
      <x:c r="D50" t="str">
        <x:f>IF($A50="","",COUNTIFS(MOUVEMENTS!$C$2:$C$201,$A50,MOUVEMENTS!$E$2:$E$201,"40 DV HC",MOUVEMENTS!$H$2:$H$201,"PRESENT"))</x:f>
      </x:c>
      <x:c r="E50" t="str">
        <x:f>IF($A50="","",COUNTIFS(MOUVEMENTS!$C$2:$C$201,$A50,MOUVEMENTS!$E$2:$E$201,"45 DV",MOUVEMENTS!$H$2:$H$201,"PRESENT"))</x:f>
      </x:c>
      <x:c r="F50" t="str">
        <x:f>IF($A50="","",SUMIFS(MOUVEMENTS!$I$2:$I$201,MOUVEMENTS!$C$2:$C$201,$A50,MOUVEMENTS!$H$2:$H$201,"PRESENT"))</x:f>
      </x:c>
    </x:row>
    <x:row r="51">
      <x:c r="B51" t="str">
        <x:f>IF($A51="","",COUNTIFS(MOUVEMENTS!$C$2:$C$201,$A51,MOUVEMENTS!$E$2:$E$201,"20 DV",MOUVEMENTS!$H$2:$H$201,"PRESENT"))</x:f>
      </x:c>
      <x:c r="C51" t="str">
        <x:f>IF($A51="","",COUNTIFS(MOUVEMENTS!$C$2:$C$201,$A51,MOUVEMENTS!$E$2:$E$201,"40 DV ST",MOUVEMENTS!$H$2:$H$201,"PRESENT"))</x:f>
      </x:c>
      <x:c r="D51" t="str">
        <x:f>IF($A51="","",COUNTIFS(MOUVEMENTS!$C$2:$C$201,$A51,MOUVEMENTS!$E$2:$E$201,"40 DV HC",MOUVEMENTS!$H$2:$H$201,"PRESENT"))</x:f>
      </x:c>
      <x:c r="E51" t="str">
        <x:f>IF($A51="","",COUNTIFS(MOUVEMENTS!$C$2:$C$201,$A51,MOUVEMENTS!$E$2:$E$201,"45 DV",MOUVEMENTS!$H$2:$H$201,"PRESENT"))</x:f>
      </x:c>
      <x:c r="F51" t="str">
        <x:f>IF($A51="","",SUMIFS(MOUVEMENTS!$I$2:$I$201,MOUVEMENTS!$C$2:$C$201,$A51,MOUVEMENTS!$H$2:$H$201,"PRESENT"))</x:f>
      </x:c>
    </x:row>
    <x:row r="52">
      <x:c r="B52" t="str">
        <x:f>IF($A52="","",COUNTIFS(MOUVEMENTS!$C$2:$C$201,$A52,MOUVEMENTS!$E$2:$E$201,"20 DV",MOUVEMENTS!$H$2:$H$201,"PRESENT"))</x:f>
      </x:c>
      <x:c r="C52" t="str">
        <x:f>IF($A52="","",COUNTIFS(MOUVEMENTS!$C$2:$C$201,$A52,MOUVEMENTS!$E$2:$E$201,"40 DV ST",MOUVEMENTS!$H$2:$H$201,"PRESENT"))</x:f>
      </x:c>
      <x:c r="D52" t="str">
        <x:f>IF($A52="","",COUNTIFS(MOUVEMENTS!$C$2:$C$201,$A52,MOUVEMENTS!$E$2:$E$201,"40 DV HC",MOUVEMENTS!$H$2:$H$201,"PRESENT"))</x:f>
      </x:c>
      <x:c r="E52" t="str">
        <x:f>IF($A52="","",COUNTIFS(MOUVEMENTS!$C$2:$C$201,$A52,MOUVEMENTS!$E$2:$E$201,"45 DV",MOUVEMENTS!$H$2:$H$201,"PRESENT"))</x:f>
      </x:c>
      <x:c r="F52" t="str">
        <x:f>IF($A52="","",SUMIFS(MOUVEMENTS!$I$2:$I$201,MOUVEMENTS!$C$2:$C$201,$A52,MOUVEMENTS!$H$2:$H$201,"PRESENT"))</x:f>
      </x:c>
    </x:row>
    <x:row r="53">
      <x:c r="B53" t="str">
        <x:f>IF($A53="","",COUNTIFS(MOUVEMENTS!$C$2:$C$201,$A53,MOUVEMENTS!$E$2:$E$201,"20 DV",MOUVEMENTS!$H$2:$H$201,"PRESENT"))</x:f>
      </x:c>
      <x:c r="C53" t="str">
        <x:f>IF($A53="","",COUNTIFS(MOUVEMENTS!$C$2:$C$201,$A53,MOUVEMENTS!$E$2:$E$201,"40 DV ST",MOUVEMENTS!$H$2:$H$201,"PRESENT"))</x:f>
      </x:c>
      <x:c r="D53" t="str">
        <x:f>IF($A53="","",COUNTIFS(MOUVEMENTS!$C$2:$C$201,$A53,MOUVEMENTS!$E$2:$E$201,"40 DV HC",MOUVEMENTS!$H$2:$H$201,"PRESENT"))</x:f>
      </x:c>
      <x:c r="E53" t="str">
        <x:f>IF($A53="","",COUNTIFS(MOUVEMENTS!$C$2:$C$201,$A53,MOUVEMENTS!$E$2:$E$201,"45 DV",MOUVEMENTS!$H$2:$H$201,"PRESENT"))</x:f>
      </x:c>
      <x:c r="F53" t="str">
        <x:f>IF($A53="","",SUMIFS(MOUVEMENTS!$I$2:$I$201,MOUVEMENTS!$C$2:$C$201,$A53,MOUVEMENTS!$H$2:$H$201,"PRESENT"))</x:f>
      </x:c>
    </x:row>
    <x:row r="54">
      <x:c r="B54" t="str">
        <x:f>IF($A54="","",COUNTIFS(MOUVEMENTS!$C$2:$C$201,$A54,MOUVEMENTS!$E$2:$E$201,"20 DV",MOUVEMENTS!$H$2:$H$201,"PRESENT"))</x:f>
      </x:c>
      <x:c r="C54" t="str">
        <x:f>IF($A54="","",COUNTIFS(MOUVEMENTS!$C$2:$C$201,$A54,MOUVEMENTS!$E$2:$E$201,"40 DV ST",MOUVEMENTS!$H$2:$H$201,"PRESENT"))</x:f>
      </x:c>
      <x:c r="D54" t="str">
        <x:f>IF($A54="","",COUNTIFS(MOUVEMENTS!$C$2:$C$201,$A54,MOUVEMENTS!$E$2:$E$201,"40 DV HC",MOUVEMENTS!$H$2:$H$201,"PRESENT"))</x:f>
      </x:c>
      <x:c r="E54" t="str">
        <x:f>IF($A54="","",COUNTIFS(MOUVEMENTS!$C$2:$C$201,$A54,MOUVEMENTS!$E$2:$E$201,"45 DV",MOUVEMENTS!$H$2:$H$201,"PRESENT"))</x:f>
      </x:c>
      <x:c r="F54" t="str">
        <x:f>IF($A54="","",SUMIFS(MOUVEMENTS!$I$2:$I$201,MOUVEMENTS!$C$2:$C$201,$A54,MOUVEMENTS!$H$2:$H$201,"PRESENT"))</x:f>
      </x:c>
    </x:row>
    <x:row r="55">
      <x:c r="B55" t="str">
        <x:f>IF($A55="","",COUNTIFS(MOUVEMENTS!$C$2:$C$201,$A55,MOUVEMENTS!$E$2:$E$201,"20 DV",MOUVEMENTS!$H$2:$H$201,"PRESENT"))</x:f>
      </x:c>
      <x:c r="C55" t="str">
        <x:f>IF($A55="","",COUNTIFS(MOUVEMENTS!$C$2:$C$201,$A55,MOUVEMENTS!$E$2:$E$201,"40 DV ST",MOUVEMENTS!$H$2:$H$201,"PRESENT"))</x:f>
      </x:c>
      <x:c r="D55" t="str">
        <x:f>IF($A55="","",COUNTIFS(MOUVEMENTS!$C$2:$C$201,$A55,MOUVEMENTS!$E$2:$E$201,"40 DV HC",MOUVEMENTS!$H$2:$H$201,"PRESENT"))</x:f>
      </x:c>
      <x:c r="E55" t="str">
        <x:f>IF($A55="","",COUNTIFS(MOUVEMENTS!$C$2:$C$201,$A55,MOUVEMENTS!$E$2:$E$201,"45 DV",MOUVEMENTS!$H$2:$H$201,"PRESENT"))</x:f>
      </x:c>
      <x:c r="F55" t="str">
        <x:f>IF($A55="","",SUMIFS(MOUVEMENTS!$I$2:$I$201,MOUVEMENTS!$C$2:$C$201,$A55,MOUVEMENTS!$H$2:$H$201,"PRESENT"))</x:f>
      </x:c>
    </x:row>
    <x:row r="56">
      <x:c r="B56" t="str">
        <x:f>IF($A56="","",COUNTIFS(MOUVEMENTS!$C$2:$C$201,$A56,MOUVEMENTS!$E$2:$E$201,"20 DV",MOUVEMENTS!$H$2:$H$201,"PRESENT"))</x:f>
      </x:c>
      <x:c r="C56" t="str">
        <x:f>IF($A56="","",COUNTIFS(MOUVEMENTS!$C$2:$C$201,$A56,MOUVEMENTS!$E$2:$E$201,"40 DV ST",MOUVEMENTS!$H$2:$H$201,"PRESENT"))</x:f>
      </x:c>
      <x:c r="D56" t="str">
        <x:f>IF($A56="","",COUNTIFS(MOUVEMENTS!$C$2:$C$201,$A56,MOUVEMENTS!$E$2:$E$201,"40 DV HC",MOUVEMENTS!$H$2:$H$201,"PRESENT"))</x:f>
      </x:c>
      <x:c r="E56" t="str">
        <x:f>IF($A56="","",COUNTIFS(MOUVEMENTS!$C$2:$C$201,$A56,MOUVEMENTS!$E$2:$E$201,"45 DV",MOUVEMENTS!$H$2:$H$201,"PRESENT"))</x:f>
      </x:c>
      <x:c r="F56" t="str">
        <x:f>IF($A56="","",SUMIFS(MOUVEMENTS!$I$2:$I$201,MOUVEMENTS!$C$2:$C$201,$A56,MOUVEMENTS!$H$2:$H$201,"PRESENT"))</x:f>
      </x:c>
    </x:row>
    <x:row r="57">
      <x:c r="B57" t="str">
        <x:f>IF($A57="","",COUNTIFS(MOUVEMENTS!$C$2:$C$201,$A57,MOUVEMENTS!$E$2:$E$201,"20 DV",MOUVEMENTS!$H$2:$H$201,"PRESENT"))</x:f>
      </x:c>
      <x:c r="C57" t="str">
        <x:f>IF($A57="","",COUNTIFS(MOUVEMENTS!$C$2:$C$201,$A57,MOUVEMENTS!$E$2:$E$201,"40 DV ST",MOUVEMENTS!$H$2:$H$201,"PRESENT"))</x:f>
      </x:c>
      <x:c r="D57" t="str">
        <x:f>IF($A57="","",COUNTIFS(MOUVEMENTS!$C$2:$C$201,$A57,MOUVEMENTS!$E$2:$E$201,"40 DV HC",MOUVEMENTS!$H$2:$H$201,"PRESENT"))</x:f>
      </x:c>
      <x:c r="E57" t="str">
        <x:f>IF($A57="","",COUNTIFS(MOUVEMENTS!$C$2:$C$201,$A57,MOUVEMENTS!$E$2:$E$201,"45 DV",MOUVEMENTS!$H$2:$H$201,"PRESENT"))</x:f>
      </x:c>
      <x:c r="F57" t="str">
        <x:f>IF($A57="","",SUMIFS(MOUVEMENTS!$I$2:$I$201,MOUVEMENTS!$C$2:$C$201,$A57,MOUVEMENTS!$H$2:$H$201,"PRESENT"))</x:f>
      </x:c>
    </x:row>
    <x:row r="58">
      <x:c r="B58" t="str">
        <x:f>IF($A58="","",COUNTIFS(MOUVEMENTS!$C$2:$C$201,$A58,MOUVEMENTS!$E$2:$E$201,"20 DV",MOUVEMENTS!$H$2:$H$201,"PRESENT"))</x:f>
      </x:c>
      <x:c r="C58" t="str">
        <x:f>IF($A58="","",COUNTIFS(MOUVEMENTS!$C$2:$C$201,$A58,MOUVEMENTS!$E$2:$E$201,"40 DV ST",MOUVEMENTS!$H$2:$H$201,"PRESENT"))</x:f>
      </x:c>
      <x:c r="D58" t="str">
        <x:f>IF($A58="","",COUNTIFS(MOUVEMENTS!$C$2:$C$201,$A58,MOUVEMENTS!$E$2:$E$201,"40 DV HC",MOUVEMENTS!$H$2:$H$201,"PRESENT"))</x:f>
      </x:c>
      <x:c r="E58" t="str">
        <x:f>IF($A58="","",COUNTIFS(MOUVEMENTS!$C$2:$C$201,$A58,MOUVEMENTS!$E$2:$E$201,"45 DV",MOUVEMENTS!$H$2:$H$201,"PRESENT"))</x:f>
      </x:c>
      <x:c r="F58" t="str">
        <x:f>IF($A58="","",SUMIFS(MOUVEMENTS!$I$2:$I$201,MOUVEMENTS!$C$2:$C$201,$A58,MOUVEMENTS!$H$2:$H$201,"PRESENT"))</x:f>
      </x:c>
    </x:row>
    <x:row r="59">
      <x:c r="B59" t="str">
        <x:f>IF($A59="","",COUNTIFS(MOUVEMENTS!$C$2:$C$201,$A59,MOUVEMENTS!$E$2:$E$201,"20 DV",MOUVEMENTS!$H$2:$H$201,"PRESENT"))</x:f>
      </x:c>
      <x:c r="C59" t="str">
        <x:f>IF($A59="","",COUNTIFS(MOUVEMENTS!$C$2:$C$201,$A59,MOUVEMENTS!$E$2:$E$201,"40 DV ST",MOUVEMENTS!$H$2:$H$201,"PRESENT"))</x:f>
      </x:c>
      <x:c r="D59" t="str">
        <x:f>IF($A59="","",COUNTIFS(MOUVEMENTS!$C$2:$C$201,$A59,MOUVEMENTS!$E$2:$E$201,"40 DV HC",MOUVEMENTS!$H$2:$H$201,"PRESENT"))</x:f>
      </x:c>
      <x:c r="E59" t="str">
        <x:f>IF($A59="","",COUNTIFS(MOUVEMENTS!$C$2:$C$201,$A59,MOUVEMENTS!$E$2:$E$201,"45 DV",MOUVEMENTS!$H$2:$H$201,"PRESENT"))</x:f>
      </x:c>
      <x:c r="F59" t="str">
        <x:f>IF($A59="","",SUMIFS(MOUVEMENTS!$I$2:$I$201,MOUVEMENTS!$C$2:$C$201,$A59,MOUVEMENTS!$H$2:$H$201,"PRESENT"))</x:f>
      </x:c>
    </x:row>
    <x:row r="60">
      <x:c r="B60" t="str">
        <x:f>IF($A60="","",COUNTIFS(MOUVEMENTS!$C$2:$C$201,$A60,MOUVEMENTS!$E$2:$E$201,"20 DV",MOUVEMENTS!$H$2:$H$201,"PRESENT"))</x:f>
      </x:c>
      <x:c r="C60" t="str">
        <x:f>IF($A60="","",COUNTIFS(MOUVEMENTS!$C$2:$C$201,$A60,MOUVEMENTS!$E$2:$E$201,"40 DV ST",MOUVEMENTS!$H$2:$H$201,"PRESENT"))</x:f>
      </x:c>
      <x:c r="D60" t="str">
        <x:f>IF($A60="","",COUNTIFS(MOUVEMENTS!$C$2:$C$201,$A60,MOUVEMENTS!$E$2:$E$201,"40 DV HC",MOUVEMENTS!$H$2:$H$201,"PRESENT"))</x:f>
      </x:c>
      <x:c r="E60" t="str">
        <x:f>IF($A60="","",COUNTIFS(MOUVEMENTS!$C$2:$C$201,$A60,MOUVEMENTS!$E$2:$E$201,"45 DV",MOUVEMENTS!$H$2:$H$201,"PRESENT"))</x:f>
      </x:c>
      <x:c r="F60" t="str">
        <x:f>IF($A60="","",SUMIFS(MOUVEMENTS!$I$2:$I$201,MOUVEMENTS!$C$2:$C$201,$A60,MOUVEMENTS!$H$2:$H$201,"PRESENT"))</x:f>
      </x:c>
    </x:row>
    <x:row r="61">
      <x:c r="B61" t="str">
        <x:f>IF($A61="","",COUNTIFS(MOUVEMENTS!$C$2:$C$201,$A61,MOUVEMENTS!$E$2:$E$201,"20 DV",MOUVEMENTS!$H$2:$H$201,"PRESENT"))</x:f>
      </x:c>
      <x:c r="C61" t="str">
        <x:f>IF($A61="","",COUNTIFS(MOUVEMENTS!$C$2:$C$201,$A61,MOUVEMENTS!$E$2:$E$201,"40 DV ST",MOUVEMENTS!$H$2:$H$201,"PRESENT"))</x:f>
      </x:c>
      <x:c r="D61" t="str">
        <x:f>IF($A61="","",COUNTIFS(MOUVEMENTS!$C$2:$C$201,$A61,MOUVEMENTS!$E$2:$E$201,"40 DV HC",MOUVEMENTS!$H$2:$H$201,"PRESENT"))</x:f>
      </x:c>
      <x:c r="E61" t="str">
        <x:f>IF($A61="","",COUNTIFS(MOUVEMENTS!$C$2:$C$201,$A61,MOUVEMENTS!$E$2:$E$201,"45 DV",MOUVEMENTS!$H$2:$H$201,"PRESENT"))</x:f>
      </x:c>
      <x:c r="F61" t="str">
        <x:f>IF($A61="","",SUMIFS(MOUVEMENTS!$I$2:$I$201,MOUVEMENTS!$C$2:$C$201,$A61,MOUVEMENTS!$H$2:$H$201,"PRESENT"))</x:f>
      </x:c>
    </x:row>
    <x:row r="62">
      <x:c r="B62" t="str">
        <x:f>IF($A62="","",COUNTIFS(MOUVEMENTS!$C$2:$C$201,$A62,MOUVEMENTS!$E$2:$E$201,"20 DV",MOUVEMENTS!$H$2:$H$201,"PRESENT"))</x:f>
      </x:c>
      <x:c r="C62" t="str">
        <x:f>IF($A62="","",COUNTIFS(MOUVEMENTS!$C$2:$C$201,$A62,MOUVEMENTS!$E$2:$E$201,"40 DV ST",MOUVEMENTS!$H$2:$H$201,"PRESENT"))</x:f>
      </x:c>
      <x:c r="D62" t="str">
        <x:f>IF($A62="","",COUNTIFS(MOUVEMENTS!$C$2:$C$201,$A62,MOUVEMENTS!$E$2:$E$201,"40 DV HC",MOUVEMENTS!$H$2:$H$201,"PRESENT"))</x:f>
      </x:c>
      <x:c r="E62" t="str">
        <x:f>IF($A62="","",COUNTIFS(MOUVEMENTS!$C$2:$C$201,$A62,MOUVEMENTS!$E$2:$E$201,"45 DV",MOUVEMENTS!$H$2:$H$201,"PRESENT"))</x:f>
      </x:c>
      <x:c r="F62" t="str">
        <x:f>IF($A62="","",SUMIFS(MOUVEMENTS!$I$2:$I$201,MOUVEMENTS!$C$2:$C$201,$A62,MOUVEMENTS!$H$2:$H$201,"PRESENT"))</x:f>
      </x:c>
    </x:row>
    <x:row r="63">
      <x:c r="B63" t="str">
        <x:f>IF($A63="","",COUNTIFS(MOUVEMENTS!$C$2:$C$201,$A63,MOUVEMENTS!$E$2:$E$201,"20 DV",MOUVEMENTS!$H$2:$H$201,"PRESENT"))</x:f>
      </x:c>
      <x:c r="C63" t="str">
        <x:f>IF($A63="","",COUNTIFS(MOUVEMENTS!$C$2:$C$201,$A63,MOUVEMENTS!$E$2:$E$201,"40 DV ST",MOUVEMENTS!$H$2:$H$201,"PRESENT"))</x:f>
      </x:c>
      <x:c r="D63" t="str">
        <x:f>IF($A63="","",COUNTIFS(MOUVEMENTS!$C$2:$C$201,$A63,MOUVEMENTS!$E$2:$E$201,"40 DV HC",MOUVEMENTS!$H$2:$H$201,"PRESENT"))</x:f>
      </x:c>
      <x:c r="E63" t="str">
        <x:f>IF($A63="","",COUNTIFS(MOUVEMENTS!$C$2:$C$201,$A63,MOUVEMENTS!$E$2:$E$201,"45 DV",MOUVEMENTS!$H$2:$H$201,"PRESENT"))</x:f>
      </x:c>
      <x:c r="F63" t="str">
        <x:f>IF($A63="","",SUMIFS(MOUVEMENTS!$I$2:$I$201,MOUVEMENTS!$C$2:$C$201,$A63,MOUVEMENTS!$H$2:$H$201,"PRESENT"))</x:f>
      </x:c>
    </x:row>
    <x:row r="64">
      <x:c r="B64" t="str">
        <x:f>IF($A64="","",COUNTIFS(MOUVEMENTS!$C$2:$C$201,$A64,MOUVEMENTS!$E$2:$E$201,"20 DV",MOUVEMENTS!$H$2:$H$201,"PRESENT"))</x:f>
      </x:c>
      <x:c r="C64" t="str">
        <x:f>IF($A64="","",COUNTIFS(MOUVEMENTS!$C$2:$C$201,$A64,MOUVEMENTS!$E$2:$E$201,"40 DV ST",MOUVEMENTS!$H$2:$H$201,"PRESENT"))</x:f>
      </x:c>
      <x:c r="D64" t="str">
        <x:f>IF($A64="","",COUNTIFS(MOUVEMENTS!$C$2:$C$201,$A64,MOUVEMENTS!$E$2:$E$201,"40 DV HC",MOUVEMENTS!$H$2:$H$201,"PRESENT"))</x:f>
      </x:c>
      <x:c r="E64" t="str">
        <x:f>IF($A64="","",COUNTIFS(MOUVEMENTS!$C$2:$C$201,$A64,MOUVEMENTS!$E$2:$E$201,"45 DV",MOUVEMENTS!$H$2:$H$201,"PRESENT"))</x:f>
      </x:c>
      <x:c r="F64" t="str">
        <x:f>IF($A64="","",SUMIFS(MOUVEMENTS!$I$2:$I$201,MOUVEMENTS!$C$2:$C$201,$A64,MOUVEMENTS!$H$2:$H$201,"PRESENT"))</x:f>
      </x:c>
    </x:row>
    <x:row r="65">
      <x:c r="B65" t="str">
        <x:f>IF($A65="","",COUNTIFS(MOUVEMENTS!$C$2:$C$201,$A65,MOUVEMENTS!$E$2:$E$201,"20 DV",MOUVEMENTS!$H$2:$H$201,"PRESENT"))</x:f>
      </x:c>
      <x:c r="C65" t="str">
        <x:f>IF($A65="","",COUNTIFS(MOUVEMENTS!$C$2:$C$201,$A65,MOUVEMENTS!$E$2:$E$201,"40 DV ST",MOUVEMENTS!$H$2:$H$201,"PRESENT"))</x:f>
      </x:c>
      <x:c r="D65" t="str">
        <x:f>IF($A65="","",COUNTIFS(MOUVEMENTS!$C$2:$C$201,$A65,MOUVEMENTS!$E$2:$E$201,"40 DV HC",MOUVEMENTS!$H$2:$H$201,"PRESENT"))</x:f>
      </x:c>
      <x:c r="E65" t="str">
        <x:f>IF($A65="","",COUNTIFS(MOUVEMENTS!$C$2:$C$201,$A65,MOUVEMENTS!$E$2:$E$201,"45 DV",MOUVEMENTS!$H$2:$H$201,"PRESENT"))</x:f>
      </x:c>
      <x:c r="F65" t="str">
        <x:f>IF($A65="","",SUMIFS(MOUVEMENTS!$I$2:$I$201,MOUVEMENTS!$C$2:$C$201,$A65,MOUVEMENTS!$H$2:$H$201,"PRESENT"))</x:f>
      </x:c>
    </x:row>
    <x:row r="66">
      <x:c r="B66" t="str">
        <x:f>IF($A66="","",COUNTIFS(MOUVEMENTS!$C$2:$C$201,$A66,MOUVEMENTS!$E$2:$E$201,"20 DV",MOUVEMENTS!$H$2:$H$201,"PRESENT"))</x:f>
      </x:c>
      <x:c r="C66" t="str">
        <x:f>IF($A66="","",COUNTIFS(MOUVEMENTS!$C$2:$C$201,$A66,MOUVEMENTS!$E$2:$E$201,"40 DV ST",MOUVEMENTS!$H$2:$H$201,"PRESENT"))</x:f>
      </x:c>
      <x:c r="D66" t="str">
        <x:f>IF($A66="","",COUNTIFS(MOUVEMENTS!$C$2:$C$201,$A66,MOUVEMENTS!$E$2:$E$201,"40 DV HC",MOUVEMENTS!$H$2:$H$201,"PRESENT"))</x:f>
      </x:c>
      <x:c r="E66" t="str">
        <x:f>IF($A66="","",COUNTIFS(MOUVEMENTS!$C$2:$C$201,$A66,MOUVEMENTS!$E$2:$E$201,"45 DV",MOUVEMENTS!$H$2:$H$201,"PRESENT"))</x:f>
      </x:c>
      <x:c r="F66" t="str">
        <x:f>IF($A66="","",SUMIFS(MOUVEMENTS!$I$2:$I$201,MOUVEMENTS!$C$2:$C$201,$A66,MOUVEMENTS!$H$2:$H$201,"PRESENT"))</x:f>
      </x:c>
    </x:row>
    <x:row r="67">
      <x:c r="B67" t="str">
        <x:f>IF($A67="","",COUNTIFS(MOUVEMENTS!$C$2:$C$201,$A67,MOUVEMENTS!$E$2:$E$201,"20 DV",MOUVEMENTS!$H$2:$H$201,"PRESENT"))</x:f>
      </x:c>
      <x:c r="C67" t="str">
        <x:f>IF($A67="","",COUNTIFS(MOUVEMENTS!$C$2:$C$201,$A67,MOUVEMENTS!$E$2:$E$201,"40 DV ST",MOUVEMENTS!$H$2:$H$201,"PRESENT"))</x:f>
      </x:c>
      <x:c r="D67" t="str">
        <x:f>IF($A67="","",COUNTIFS(MOUVEMENTS!$C$2:$C$201,$A67,MOUVEMENTS!$E$2:$E$201,"40 DV HC",MOUVEMENTS!$H$2:$H$201,"PRESENT"))</x:f>
      </x:c>
      <x:c r="E67" t="str">
        <x:f>IF($A67="","",COUNTIFS(MOUVEMENTS!$C$2:$C$201,$A67,MOUVEMENTS!$E$2:$E$201,"45 DV",MOUVEMENTS!$H$2:$H$201,"PRESENT"))</x:f>
      </x:c>
      <x:c r="F67" t="str">
        <x:f>IF($A67="","",SUMIFS(MOUVEMENTS!$I$2:$I$201,MOUVEMENTS!$C$2:$C$201,$A67,MOUVEMENTS!$H$2:$H$201,"PRESENT"))</x:f>
      </x:c>
    </x:row>
    <x:row r="68">
      <x:c r="B68" t="str">
        <x:f>IF($A68="","",COUNTIFS(MOUVEMENTS!$C$2:$C$201,$A68,MOUVEMENTS!$E$2:$E$201,"20 DV",MOUVEMENTS!$H$2:$H$201,"PRESENT"))</x:f>
      </x:c>
      <x:c r="C68" t="str">
        <x:f>IF($A68="","",COUNTIFS(MOUVEMENTS!$C$2:$C$201,$A68,MOUVEMENTS!$E$2:$E$201,"40 DV ST",MOUVEMENTS!$H$2:$H$201,"PRESENT"))</x:f>
      </x:c>
      <x:c r="D68" t="str">
        <x:f>IF($A68="","",COUNTIFS(MOUVEMENTS!$C$2:$C$201,$A68,MOUVEMENTS!$E$2:$E$201,"40 DV HC",MOUVEMENTS!$H$2:$H$201,"PRESENT"))</x:f>
      </x:c>
      <x:c r="E68" t="str">
        <x:f>IF($A68="","",COUNTIFS(MOUVEMENTS!$C$2:$C$201,$A68,MOUVEMENTS!$E$2:$E$201,"45 DV",MOUVEMENTS!$H$2:$H$201,"PRESENT"))</x:f>
      </x:c>
      <x:c r="F68" t="str">
        <x:f>IF($A68="","",SUMIFS(MOUVEMENTS!$I$2:$I$201,MOUVEMENTS!$C$2:$C$201,$A68,MOUVEMENTS!$H$2:$H$201,"PRESENT"))</x:f>
      </x:c>
    </x:row>
    <x:row r="69">
      <x:c r="B69" t="str">
        <x:f>IF($A69="","",COUNTIFS(MOUVEMENTS!$C$2:$C$201,$A69,MOUVEMENTS!$E$2:$E$201,"20 DV",MOUVEMENTS!$H$2:$H$201,"PRESENT"))</x:f>
      </x:c>
      <x:c r="C69" t="str">
        <x:f>IF($A69="","",COUNTIFS(MOUVEMENTS!$C$2:$C$201,$A69,MOUVEMENTS!$E$2:$E$201,"40 DV ST",MOUVEMENTS!$H$2:$H$201,"PRESENT"))</x:f>
      </x:c>
      <x:c r="D69" t="str">
        <x:f>IF($A69="","",COUNTIFS(MOUVEMENTS!$C$2:$C$201,$A69,MOUVEMENTS!$E$2:$E$201,"40 DV HC",MOUVEMENTS!$H$2:$H$201,"PRESENT"))</x:f>
      </x:c>
      <x:c r="E69" t="str">
        <x:f>IF($A69="","",COUNTIFS(MOUVEMENTS!$C$2:$C$201,$A69,MOUVEMENTS!$E$2:$E$201,"45 DV",MOUVEMENTS!$H$2:$H$201,"PRESENT"))</x:f>
      </x:c>
      <x:c r="F69" t="str">
        <x:f>IF($A69="","",SUMIFS(MOUVEMENTS!$I$2:$I$201,MOUVEMENTS!$C$2:$C$201,$A69,MOUVEMENTS!$H$2:$H$201,"PRESENT"))</x:f>
      </x:c>
    </x:row>
    <x:row r="70">
      <x:c r="B70" t="str">
        <x:f>IF($A70="","",COUNTIFS(MOUVEMENTS!$C$2:$C$201,$A70,MOUVEMENTS!$E$2:$E$201,"20 DV",MOUVEMENTS!$H$2:$H$201,"PRESENT"))</x:f>
      </x:c>
      <x:c r="C70" t="str">
        <x:f>IF($A70="","",COUNTIFS(MOUVEMENTS!$C$2:$C$201,$A70,MOUVEMENTS!$E$2:$E$201,"40 DV ST",MOUVEMENTS!$H$2:$H$201,"PRESENT"))</x:f>
      </x:c>
      <x:c r="D70" t="str">
        <x:f>IF($A70="","",COUNTIFS(MOUVEMENTS!$C$2:$C$201,$A70,MOUVEMENTS!$E$2:$E$201,"40 DV HC",MOUVEMENTS!$H$2:$H$201,"PRESENT"))</x:f>
      </x:c>
      <x:c r="E70" t="str">
        <x:f>IF($A70="","",COUNTIFS(MOUVEMENTS!$C$2:$C$201,$A70,MOUVEMENTS!$E$2:$E$201,"45 DV",MOUVEMENTS!$H$2:$H$201,"PRESENT"))</x:f>
      </x:c>
      <x:c r="F70" t="str">
        <x:f>IF($A70="","",SUMIFS(MOUVEMENTS!$I$2:$I$201,MOUVEMENTS!$C$2:$C$201,$A70,MOUVEMENTS!$H$2:$H$201,"PRESENT"))</x:f>
      </x:c>
    </x:row>
    <x:row r="71">
      <x:c r="B71" t="str">
        <x:f>IF($A71="","",COUNTIFS(MOUVEMENTS!$C$2:$C$201,$A71,MOUVEMENTS!$E$2:$E$201,"20 DV",MOUVEMENTS!$H$2:$H$201,"PRESENT"))</x:f>
      </x:c>
      <x:c r="C71" t="str">
        <x:f>IF($A71="","",COUNTIFS(MOUVEMENTS!$C$2:$C$201,$A71,MOUVEMENTS!$E$2:$E$201,"40 DV ST",MOUVEMENTS!$H$2:$H$201,"PRESENT"))</x:f>
      </x:c>
      <x:c r="D71" t="str">
        <x:f>IF($A71="","",COUNTIFS(MOUVEMENTS!$C$2:$C$201,$A71,MOUVEMENTS!$E$2:$E$201,"40 DV HC",MOUVEMENTS!$H$2:$H$201,"PRESENT"))</x:f>
      </x:c>
      <x:c r="E71" t="str">
        <x:f>IF($A71="","",COUNTIFS(MOUVEMENTS!$C$2:$C$201,$A71,MOUVEMENTS!$E$2:$E$201,"45 DV",MOUVEMENTS!$H$2:$H$201,"PRESENT"))</x:f>
      </x:c>
      <x:c r="F71" t="str">
        <x:f>IF($A71="","",SUMIFS(MOUVEMENTS!$I$2:$I$201,MOUVEMENTS!$C$2:$C$201,$A71,MOUVEMENTS!$H$2:$H$201,"PRESENT"))</x:f>
      </x:c>
    </x:row>
    <x:row r="72">
      <x:c r="B72" t="str">
        <x:f>IF($A72="","",COUNTIFS(MOUVEMENTS!$C$2:$C$201,$A72,MOUVEMENTS!$E$2:$E$201,"20 DV",MOUVEMENTS!$H$2:$H$201,"PRESENT"))</x:f>
      </x:c>
      <x:c r="C72" t="str">
        <x:f>IF($A72="","",COUNTIFS(MOUVEMENTS!$C$2:$C$201,$A72,MOUVEMENTS!$E$2:$E$201,"40 DV ST",MOUVEMENTS!$H$2:$H$201,"PRESENT"))</x:f>
      </x:c>
      <x:c r="D72" t="str">
        <x:f>IF($A72="","",COUNTIFS(MOUVEMENTS!$C$2:$C$201,$A72,MOUVEMENTS!$E$2:$E$201,"40 DV HC",MOUVEMENTS!$H$2:$H$201,"PRESENT"))</x:f>
      </x:c>
      <x:c r="E72" t="str">
        <x:f>IF($A72="","",COUNTIFS(MOUVEMENTS!$C$2:$C$201,$A72,MOUVEMENTS!$E$2:$E$201,"45 DV",MOUVEMENTS!$H$2:$H$201,"PRESENT"))</x:f>
      </x:c>
      <x:c r="F72" t="str">
        <x:f>IF($A72="","",SUMIFS(MOUVEMENTS!$I$2:$I$201,MOUVEMENTS!$C$2:$C$201,$A72,MOUVEMENTS!$H$2:$H$201,"PRESENT"))</x:f>
      </x:c>
    </x:row>
    <x:row r="73">
      <x:c r="B73" t="str">
        <x:f>IF($A73="","",COUNTIFS(MOUVEMENTS!$C$2:$C$201,$A73,MOUVEMENTS!$E$2:$E$201,"20 DV",MOUVEMENTS!$H$2:$H$201,"PRESENT"))</x:f>
      </x:c>
      <x:c r="C73" t="str">
        <x:f>IF($A73="","",COUNTIFS(MOUVEMENTS!$C$2:$C$201,$A73,MOUVEMENTS!$E$2:$E$201,"40 DV ST",MOUVEMENTS!$H$2:$H$201,"PRESENT"))</x:f>
      </x:c>
      <x:c r="D73" t="str">
        <x:f>IF($A73="","",COUNTIFS(MOUVEMENTS!$C$2:$C$201,$A73,MOUVEMENTS!$E$2:$E$201,"40 DV HC",MOUVEMENTS!$H$2:$H$201,"PRESENT"))</x:f>
      </x:c>
      <x:c r="E73" t="str">
        <x:f>IF($A73="","",COUNTIFS(MOUVEMENTS!$C$2:$C$201,$A73,MOUVEMENTS!$E$2:$E$201,"45 DV",MOUVEMENTS!$H$2:$H$201,"PRESENT"))</x:f>
      </x:c>
      <x:c r="F73" t="str">
        <x:f>IF($A73="","",SUMIFS(MOUVEMENTS!$I$2:$I$201,MOUVEMENTS!$C$2:$C$201,$A73,MOUVEMENTS!$H$2:$H$201,"PRESENT"))</x:f>
      </x:c>
    </x:row>
    <x:row r="74">
      <x:c r="B74" t="str">
        <x:f>IF($A74="","",COUNTIFS(MOUVEMENTS!$C$2:$C$201,$A74,MOUVEMENTS!$E$2:$E$201,"20 DV",MOUVEMENTS!$H$2:$H$201,"PRESENT"))</x:f>
      </x:c>
      <x:c r="C74" t="str">
        <x:f>IF($A74="","",COUNTIFS(MOUVEMENTS!$C$2:$C$201,$A74,MOUVEMENTS!$E$2:$E$201,"40 DV ST",MOUVEMENTS!$H$2:$H$201,"PRESENT"))</x:f>
      </x:c>
      <x:c r="D74" t="str">
        <x:f>IF($A74="","",COUNTIFS(MOUVEMENTS!$C$2:$C$201,$A74,MOUVEMENTS!$E$2:$E$201,"40 DV HC",MOUVEMENTS!$H$2:$H$201,"PRESENT"))</x:f>
      </x:c>
      <x:c r="E74" t="str">
        <x:f>IF($A74="","",COUNTIFS(MOUVEMENTS!$C$2:$C$201,$A74,MOUVEMENTS!$E$2:$E$201,"45 DV",MOUVEMENTS!$H$2:$H$201,"PRESENT"))</x:f>
      </x:c>
      <x:c r="F74" t="str">
        <x:f>IF($A74="","",SUMIFS(MOUVEMENTS!$I$2:$I$201,MOUVEMENTS!$C$2:$C$201,$A74,MOUVEMENTS!$H$2:$H$201,"PRESENT"))</x:f>
      </x:c>
    </x:row>
    <x:row r="75">
      <x:c r="B75" t="str">
        <x:f>IF($A75="","",COUNTIFS(MOUVEMENTS!$C$2:$C$201,$A75,MOUVEMENTS!$E$2:$E$201,"20 DV",MOUVEMENTS!$H$2:$H$201,"PRESENT"))</x:f>
      </x:c>
      <x:c r="C75" t="str">
        <x:f>IF($A75="","",COUNTIFS(MOUVEMENTS!$C$2:$C$201,$A75,MOUVEMENTS!$E$2:$E$201,"40 DV ST",MOUVEMENTS!$H$2:$H$201,"PRESENT"))</x:f>
      </x:c>
      <x:c r="D75" t="str">
        <x:f>IF($A75="","",COUNTIFS(MOUVEMENTS!$C$2:$C$201,$A75,MOUVEMENTS!$E$2:$E$201,"40 DV HC",MOUVEMENTS!$H$2:$H$201,"PRESENT"))</x:f>
      </x:c>
      <x:c r="E75" t="str">
        <x:f>IF($A75="","",COUNTIFS(MOUVEMENTS!$C$2:$C$201,$A75,MOUVEMENTS!$E$2:$E$201,"45 DV",MOUVEMENTS!$H$2:$H$201,"PRESENT"))</x:f>
      </x:c>
      <x:c r="F75" t="str">
        <x:f>IF($A75="","",SUMIFS(MOUVEMENTS!$I$2:$I$201,MOUVEMENTS!$C$2:$C$201,$A75,MOUVEMENTS!$H$2:$H$201,"PRESENT"))</x:f>
      </x:c>
    </x:row>
    <x:row r="76">
      <x:c r="B76" t="str">
        <x:f>IF($A76="","",COUNTIFS(MOUVEMENTS!$C$2:$C$201,$A76,MOUVEMENTS!$E$2:$E$201,"20 DV",MOUVEMENTS!$H$2:$H$201,"PRESENT"))</x:f>
      </x:c>
      <x:c r="C76" t="str">
        <x:f>IF($A76="","",COUNTIFS(MOUVEMENTS!$C$2:$C$201,$A76,MOUVEMENTS!$E$2:$E$201,"40 DV ST",MOUVEMENTS!$H$2:$H$201,"PRESENT"))</x:f>
      </x:c>
      <x:c r="D76" t="str">
        <x:f>IF($A76="","",COUNTIFS(MOUVEMENTS!$C$2:$C$201,$A76,MOUVEMENTS!$E$2:$E$201,"40 DV HC",MOUVEMENTS!$H$2:$H$201,"PRESENT"))</x:f>
      </x:c>
      <x:c r="E76" t="str">
        <x:f>IF($A76="","",COUNTIFS(MOUVEMENTS!$C$2:$C$201,$A76,MOUVEMENTS!$E$2:$E$201,"45 DV",MOUVEMENTS!$H$2:$H$201,"PRESENT"))</x:f>
      </x:c>
      <x:c r="F76" t="str">
        <x:f>IF($A76="","",SUMIFS(MOUVEMENTS!$I$2:$I$201,MOUVEMENTS!$C$2:$C$201,$A76,MOUVEMENTS!$H$2:$H$201,"PRESENT"))</x:f>
      </x:c>
    </x:row>
    <x:row r="77">
      <x:c r="B77" t="str">
        <x:f>IF($A77="","",COUNTIFS(MOUVEMENTS!$C$2:$C$201,$A77,MOUVEMENTS!$E$2:$E$201,"20 DV",MOUVEMENTS!$H$2:$H$201,"PRESENT"))</x:f>
      </x:c>
      <x:c r="C77" t="str">
        <x:f>IF($A77="","",COUNTIFS(MOUVEMENTS!$C$2:$C$201,$A77,MOUVEMENTS!$E$2:$E$201,"40 DV ST",MOUVEMENTS!$H$2:$H$201,"PRESENT"))</x:f>
      </x:c>
      <x:c r="D77" t="str">
        <x:f>IF($A77="","",COUNTIFS(MOUVEMENTS!$C$2:$C$201,$A77,MOUVEMENTS!$E$2:$E$201,"40 DV HC",MOUVEMENTS!$H$2:$H$201,"PRESENT"))</x:f>
      </x:c>
      <x:c r="E77" t="str">
        <x:f>IF($A77="","",COUNTIFS(MOUVEMENTS!$C$2:$C$201,$A77,MOUVEMENTS!$E$2:$E$201,"45 DV",MOUVEMENTS!$H$2:$H$201,"PRESENT"))</x:f>
      </x:c>
      <x:c r="F77" t="str">
        <x:f>IF($A77="","",SUMIFS(MOUVEMENTS!$I$2:$I$201,MOUVEMENTS!$C$2:$C$201,$A77,MOUVEMENTS!$H$2:$H$201,"PRESENT"))</x:f>
      </x:c>
    </x:row>
    <x:row r="78">
      <x:c r="B78" t="str">
        <x:f>IF($A78="","",COUNTIFS(MOUVEMENTS!$C$2:$C$201,$A78,MOUVEMENTS!$E$2:$E$201,"20 DV",MOUVEMENTS!$H$2:$H$201,"PRESENT"))</x:f>
      </x:c>
      <x:c r="C78" t="str">
        <x:f>IF($A78="","",COUNTIFS(MOUVEMENTS!$C$2:$C$201,$A78,MOUVEMENTS!$E$2:$E$201,"40 DV ST",MOUVEMENTS!$H$2:$H$201,"PRESENT"))</x:f>
      </x:c>
      <x:c r="D78" t="str">
        <x:f>IF($A78="","",COUNTIFS(MOUVEMENTS!$C$2:$C$201,$A78,MOUVEMENTS!$E$2:$E$201,"40 DV HC",MOUVEMENTS!$H$2:$H$201,"PRESENT"))</x:f>
      </x:c>
      <x:c r="E78" t="str">
        <x:f>IF($A78="","",COUNTIFS(MOUVEMENTS!$C$2:$C$201,$A78,MOUVEMENTS!$E$2:$E$201,"45 DV",MOUVEMENTS!$H$2:$H$201,"PRESENT"))</x:f>
      </x:c>
      <x:c r="F78" t="str">
        <x:f>IF($A78="","",SUMIFS(MOUVEMENTS!$I$2:$I$201,MOUVEMENTS!$C$2:$C$201,$A78,MOUVEMENTS!$H$2:$H$201,"PRESENT"))</x:f>
      </x:c>
    </x:row>
    <x:row r="79">
      <x:c r="B79" t="str">
        <x:f>IF($A79="","",COUNTIFS(MOUVEMENTS!$C$2:$C$201,$A79,MOUVEMENTS!$E$2:$E$201,"20 DV",MOUVEMENTS!$H$2:$H$201,"PRESENT"))</x:f>
      </x:c>
      <x:c r="C79" t="str">
        <x:f>IF($A79="","",COUNTIFS(MOUVEMENTS!$C$2:$C$201,$A79,MOUVEMENTS!$E$2:$E$201,"40 DV ST",MOUVEMENTS!$H$2:$H$201,"PRESENT"))</x:f>
      </x:c>
      <x:c r="D79" t="str">
        <x:f>IF($A79="","",COUNTIFS(MOUVEMENTS!$C$2:$C$201,$A79,MOUVEMENTS!$E$2:$E$201,"40 DV HC",MOUVEMENTS!$H$2:$H$201,"PRESENT"))</x:f>
      </x:c>
      <x:c r="E79" t="str">
        <x:f>IF($A79="","",COUNTIFS(MOUVEMENTS!$C$2:$C$201,$A79,MOUVEMENTS!$E$2:$E$201,"45 DV",MOUVEMENTS!$H$2:$H$201,"PRESENT"))</x:f>
      </x:c>
      <x:c r="F79" t="str">
        <x:f>IF($A79="","",SUMIFS(MOUVEMENTS!$I$2:$I$201,MOUVEMENTS!$C$2:$C$201,$A79,MOUVEMENTS!$H$2:$H$201,"PRESENT"))</x:f>
      </x:c>
    </x:row>
    <x:row r="80">
      <x:c r="B80" t="str">
        <x:f>IF($A80="","",COUNTIFS(MOUVEMENTS!$C$2:$C$201,$A80,MOUVEMENTS!$E$2:$E$201,"20 DV",MOUVEMENTS!$H$2:$H$201,"PRESENT"))</x:f>
      </x:c>
      <x:c r="C80" t="str">
        <x:f>IF($A80="","",COUNTIFS(MOUVEMENTS!$C$2:$C$201,$A80,MOUVEMENTS!$E$2:$E$201,"40 DV ST",MOUVEMENTS!$H$2:$H$201,"PRESENT"))</x:f>
      </x:c>
      <x:c r="D80" t="str">
        <x:f>IF($A80="","",COUNTIFS(MOUVEMENTS!$C$2:$C$201,$A80,MOUVEMENTS!$E$2:$E$201,"40 DV HC",MOUVEMENTS!$H$2:$H$201,"PRESENT"))</x:f>
      </x:c>
      <x:c r="E80" t="str">
        <x:f>IF($A80="","",COUNTIFS(MOUVEMENTS!$C$2:$C$201,$A80,MOUVEMENTS!$E$2:$E$201,"45 DV",MOUVEMENTS!$H$2:$H$201,"PRESENT"))</x:f>
      </x:c>
      <x:c r="F80" t="str">
        <x:f>IF($A80="","",SUMIFS(MOUVEMENTS!$I$2:$I$201,MOUVEMENTS!$C$2:$C$201,$A80,MOUVEMENTS!$H$2:$H$201,"PRESENT"))</x:f>
      </x:c>
    </x:row>
    <x:row r="81">
      <x:c r="B81" t="str">
        <x:f>IF($A81="","",COUNTIFS(MOUVEMENTS!$C$2:$C$201,$A81,MOUVEMENTS!$E$2:$E$201,"20 DV",MOUVEMENTS!$H$2:$H$201,"PRESENT"))</x:f>
      </x:c>
      <x:c r="C81" t="str">
        <x:f>IF($A81="","",COUNTIFS(MOUVEMENTS!$C$2:$C$201,$A81,MOUVEMENTS!$E$2:$E$201,"40 DV ST",MOUVEMENTS!$H$2:$H$201,"PRESENT"))</x:f>
      </x:c>
      <x:c r="D81" t="str">
        <x:f>IF($A81="","",COUNTIFS(MOUVEMENTS!$C$2:$C$201,$A81,MOUVEMENTS!$E$2:$E$201,"40 DV HC",MOUVEMENTS!$H$2:$H$201,"PRESENT"))</x:f>
      </x:c>
      <x:c r="E81" t="str">
        <x:f>IF($A81="","",COUNTIFS(MOUVEMENTS!$C$2:$C$201,$A81,MOUVEMENTS!$E$2:$E$201,"45 DV",MOUVEMENTS!$H$2:$H$201,"PRESENT"))</x:f>
      </x:c>
      <x:c r="F81" t="str">
        <x:f>IF($A81="","",SUMIFS(MOUVEMENTS!$I$2:$I$201,MOUVEMENTS!$C$2:$C$201,$A81,MOUVEMENTS!$H$2:$H$201,"PRESENT"))</x:f>
      </x:c>
    </x:row>
    <x:row r="82">
      <x:c r="B82" t="str">
        <x:f>IF($A82="","",COUNTIFS(MOUVEMENTS!$C$2:$C$201,$A82,MOUVEMENTS!$E$2:$E$201,"20 DV",MOUVEMENTS!$H$2:$H$201,"PRESENT"))</x:f>
      </x:c>
      <x:c r="C82" t="str">
        <x:f>IF($A82="","",COUNTIFS(MOUVEMENTS!$C$2:$C$201,$A82,MOUVEMENTS!$E$2:$E$201,"40 DV ST",MOUVEMENTS!$H$2:$H$201,"PRESENT"))</x:f>
      </x:c>
      <x:c r="D82" t="str">
        <x:f>IF($A82="","",COUNTIFS(MOUVEMENTS!$C$2:$C$201,$A82,MOUVEMENTS!$E$2:$E$201,"40 DV HC",MOUVEMENTS!$H$2:$H$201,"PRESENT"))</x:f>
      </x:c>
      <x:c r="E82" t="str">
        <x:f>IF($A82="","",COUNTIFS(MOUVEMENTS!$C$2:$C$201,$A82,MOUVEMENTS!$E$2:$E$201,"45 DV",MOUVEMENTS!$H$2:$H$201,"PRESENT"))</x:f>
      </x:c>
      <x:c r="F82" t="str">
        <x:f>IF($A82="","",SUMIFS(MOUVEMENTS!$I$2:$I$201,MOUVEMENTS!$C$2:$C$201,$A82,MOUVEMENTS!$H$2:$H$201,"PRESENT"))</x:f>
      </x:c>
    </x:row>
    <x:row r="83">
      <x:c r="B83" t="str">
        <x:f>IF($A83="","",COUNTIFS(MOUVEMENTS!$C$2:$C$201,$A83,MOUVEMENTS!$E$2:$E$201,"20 DV",MOUVEMENTS!$H$2:$H$201,"PRESENT"))</x:f>
      </x:c>
      <x:c r="C83" t="str">
        <x:f>IF($A83="","",COUNTIFS(MOUVEMENTS!$C$2:$C$201,$A83,MOUVEMENTS!$E$2:$E$201,"40 DV ST",MOUVEMENTS!$H$2:$H$201,"PRESENT"))</x:f>
      </x:c>
      <x:c r="D83" t="str">
        <x:f>IF($A83="","",COUNTIFS(MOUVEMENTS!$C$2:$C$201,$A83,MOUVEMENTS!$E$2:$E$201,"40 DV HC",MOUVEMENTS!$H$2:$H$201,"PRESENT"))</x:f>
      </x:c>
      <x:c r="E83" t="str">
        <x:f>IF($A83="","",COUNTIFS(MOUVEMENTS!$C$2:$C$201,$A83,MOUVEMENTS!$E$2:$E$201,"45 DV",MOUVEMENTS!$H$2:$H$201,"PRESENT"))</x:f>
      </x:c>
      <x:c r="F83" t="str">
        <x:f>IF($A83="","",SUMIFS(MOUVEMENTS!$I$2:$I$201,MOUVEMENTS!$C$2:$C$201,$A83,MOUVEMENTS!$H$2:$H$201,"PRESENT"))</x:f>
      </x:c>
    </x:row>
    <x:row r="84">
      <x:c r="B84" t="str">
        <x:f>IF($A84="","",COUNTIFS(MOUVEMENTS!$C$2:$C$201,$A84,MOUVEMENTS!$E$2:$E$201,"20 DV",MOUVEMENTS!$H$2:$H$201,"PRESENT"))</x:f>
      </x:c>
      <x:c r="C84" t="str">
        <x:f>IF($A84="","",COUNTIFS(MOUVEMENTS!$C$2:$C$201,$A84,MOUVEMENTS!$E$2:$E$201,"40 DV ST",MOUVEMENTS!$H$2:$H$201,"PRESENT"))</x:f>
      </x:c>
      <x:c r="D84" t="str">
        <x:f>IF($A84="","",COUNTIFS(MOUVEMENTS!$C$2:$C$201,$A84,MOUVEMENTS!$E$2:$E$201,"40 DV HC",MOUVEMENTS!$H$2:$H$201,"PRESENT"))</x:f>
      </x:c>
      <x:c r="E84" t="str">
        <x:f>IF($A84="","",COUNTIFS(MOUVEMENTS!$C$2:$C$201,$A84,MOUVEMENTS!$E$2:$E$201,"45 DV",MOUVEMENTS!$H$2:$H$201,"PRESENT"))</x:f>
      </x:c>
      <x:c r="F84" t="str">
        <x:f>IF($A84="","",SUMIFS(MOUVEMENTS!$I$2:$I$201,MOUVEMENTS!$C$2:$C$201,$A84,MOUVEMENTS!$H$2:$H$201,"PRESENT"))</x:f>
      </x:c>
    </x:row>
    <x:row r="85">
      <x:c r="B85" t="str">
        <x:f>IF($A85="","",COUNTIFS(MOUVEMENTS!$C$2:$C$201,$A85,MOUVEMENTS!$E$2:$E$201,"20 DV",MOUVEMENTS!$H$2:$H$201,"PRESENT"))</x:f>
      </x:c>
      <x:c r="C85" t="str">
        <x:f>IF($A85="","",COUNTIFS(MOUVEMENTS!$C$2:$C$201,$A85,MOUVEMENTS!$E$2:$E$201,"40 DV ST",MOUVEMENTS!$H$2:$H$201,"PRESENT"))</x:f>
      </x:c>
      <x:c r="D85" t="str">
        <x:f>IF($A85="","",COUNTIFS(MOUVEMENTS!$C$2:$C$201,$A85,MOUVEMENTS!$E$2:$E$201,"40 DV HC",MOUVEMENTS!$H$2:$H$201,"PRESENT"))</x:f>
      </x:c>
      <x:c r="E85" t="str">
        <x:f>IF($A85="","",COUNTIFS(MOUVEMENTS!$C$2:$C$201,$A85,MOUVEMENTS!$E$2:$E$201,"45 DV",MOUVEMENTS!$H$2:$H$201,"PRESENT"))</x:f>
      </x:c>
      <x:c r="F85" t="str">
        <x:f>IF($A85="","",SUMIFS(MOUVEMENTS!$I$2:$I$201,MOUVEMENTS!$C$2:$C$201,$A85,MOUVEMENTS!$H$2:$H$201,"PRESENT"))</x:f>
      </x:c>
    </x:row>
    <x:row r="86">
      <x:c r="B86" t="str">
        <x:f>IF($A86="","",COUNTIFS(MOUVEMENTS!$C$2:$C$201,$A86,MOUVEMENTS!$E$2:$E$201,"20 DV",MOUVEMENTS!$H$2:$H$201,"PRESENT"))</x:f>
      </x:c>
      <x:c r="C86" t="str">
        <x:f>IF($A86="","",COUNTIFS(MOUVEMENTS!$C$2:$C$201,$A86,MOUVEMENTS!$E$2:$E$201,"40 DV ST",MOUVEMENTS!$H$2:$H$201,"PRESENT"))</x:f>
      </x:c>
      <x:c r="D86" t="str">
        <x:f>IF($A86="","",COUNTIFS(MOUVEMENTS!$C$2:$C$201,$A86,MOUVEMENTS!$E$2:$E$201,"40 DV HC",MOUVEMENTS!$H$2:$H$201,"PRESENT"))</x:f>
      </x:c>
      <x:c r="E86" t="str">
        <x:f>IF($A86="","",COUNTIFS(MOUVEMENTS!$C$2:$C$201,$A86,MOUVEMENTS!$E$2:$E$201,"45 DV",MOUVEMENTS!$H$2:$H$201,"PRESENT"))</x:f>
      </x:c>
      <x:c r="F86" t="str">
        <x:f>IF($A86="","",SUMIFS(MOUVEMENTS!$I$2:$I$201,MOUVEMENTS!$C$2:$C$201,$A86,MOUVEMENTS!$H$2:$H$201,"PRESENT"))</x:f>
      </x:c>
    </x:row>
    <x:row r="87">
      <x:c r="B87" t="str">
        <x:f>IF($A87="","",COUNTIFS(MOUVEMENTS!$C$2:$C$201,$A87,MOUVEMENTS!$E$2:$E$201,"20 DV",MOUVEMENTS!$H$2:$H$201,"PRESENT"))</x:f>
      </x:c>
      <x:c r="C87" t="str">
        <x:f>IF($A87="","",COUNTIFS(MOUVEMENTS!$C$2:$C$201,$A87,MOUVEMENTS!$E$2:$E$201,"40 DV ST",MOUVEMENTS!$H$2:$H$201,"PRESENT"))</x:f>
      </x:c>
      <x:c r="D87" t="str">
        <x:f>IF($A87="","",COUNTIFS(MOUVEMENTS!$C$2:$C$201,$A87,MOUVEMENTS!$E$2:$E$201,"40 DV HC",MOUVEMENTS!$H$2:$H$201,"PRESENT"))</x:f>
      </x:c>
      <x:c r="E87" t="str">
        <x:f>IF($A87="","",COUNTIFS(MOUVEMENTS!$C$2:$C$201,$A87,MOUVEMENTS!$E$2:$E$201,"45 DV",MOUVEMENTS!$H$2:$H$201,"PRESENT"))</x:f>
      </x:c>
      <x:c r="F87" t="str">
        <x:f>IF($A87="","",SUMIFS(MOUVEMENTS!$I$2:$I$201,MOUVEMENTS!$C$2:$C$201,$A87,MOUVEMENTS!$H$2:$H$201,"PRESENT"))</x:f>
      </x:c>
    </x:row>
    <x:row r="88">
      <x:c r="B88" t="str">
        <x:f>IF($A88="","",COUNTIFS(MOUVEMENTS!$C$2:$C$201,$A88,MOUVEMENTS!$E$2:$E$201,"20 DV",MOUVEMENTS!$H$2:$H$201,"PRESENT"))</x:f>
      </x:c>
      <x:c r="C88" t="str">
        <x:f>IF($A88="","",COUNTIFS(MOUVEMENTS!$C$2:$C$201,$A88,MOUVEMENTS!$E$2:$E$201,"40 DV ST",MOUVEMENTS!$H$2:$H$201,"PRESENT"))</x:f>
      </x:c>
      <x:c r="D88" t="str">
        <x:f>IF($A88="","",COUNTIFS(MOUVEMENTS!$C$2:$C$201,$A88,MOUVEMENTS!$E$2:$E$201,"40 DV HC",MOUVEMENTS!$H$2:$H$201,"PRESENT"))</x:f>
      </x:c>
      <x:c r="E88" t="str">
        <x:f>IF($A88="","",COUNTIFS(MOUVEMENTS!$C$2:$C$201,$A88,MOUVEMENTS!$E$2:$E$201,"45 DV",MOUVEMENTS!$H$2:$H$201,"PRESENT"))</x:f>
      </x:c>
      <x:c r="F88" t="str">
        <x:f>IF($A88="","",SUMIFS(MOUVEMENTS!$I$2:$I$201,MOUVEMENTS!$C$2:$C$201,$A88,MOUVEMENTS!$H$2:$H$201,"PRESENT"))</x:f>
      </x:c>
    </x:row>
    <x:row r="89">
      <x:c r="B89" t="str">
        <x:f>IF($A89="","",COUNTIFS(MOUVEMENTS!$C$2:$C$201,$A89,MOUVEMENTS!$E$2:$E$201,"20 DV",MOUVEMENTS!$H$2:$H$201,"PRESENT"))</x:f>
      </x:c>
      <x:c r="C89" t="str">
        <x:f>IF($A89="","",COUNTIFS(MOUVEMENTS!$C$2:$C$201,$A89,MOUVEMENTS!$E$2:$E$201,"40 DV ST",MOUVEMENTS!$H$2:$H$201,"PRESENT"))</x:f>
      </x:c>
      <x:c r="D89" t="str">
        <x:f>IF($A89="","",COUNTIFS(MOUVEMENTS!$C$2:$C$201,$A89,MOUVEMENTS!$E$2:$E$201,"40 DV HC",MOUVEMENTS!$H$2:$H$201,"PRESENT"))</x:f>
      </x:c>
      <x:c r="E89" t="str">
        <x:f>IF($A89="","",COUNTIFS(MOUVEMENTS!$C$2:$C$201,$A89,MOUVEMENTS!$E$2:$E$201,"45 DV",MOUVEMENTS!$H$2:$H$201,"PRESENT"))</x:f>
      </x:c>
      <x:c r="F89" t="str">
        <x:f>IF($A89="","",SUMIFS(MOUVEMENTS!$I$2:$I$201,MOUVEMENTS!$C$2:$C$201,$A89,MOUVEMENTS!$H$2:$H$201,"PRESENT"))</x:f>
      </x:c>
    </x:row>
    <x:row r="90">
      <x:c r="B90" t="str">
        <x:f>IF($A90="","",COUNTIFS(MOUVEMENTS!$C$2:$C$201,$A90,MOUVEMENTS!$E$2:$E$201,"20 DV",MOUVEMENTS!$H$2:$H$201,"PRESENT"))</x:f>
      </x:c>
      <x:c r="C90" t="str">
        <x:f>IF($A90="","",COUNTIFS(MOUVEMENTS!$C$2:$C$201,$A90,MOUVEMENTS!$E$2:$E$201,"40 DV ST",MOUVEMENTS!$H$2:$H$201,"PRESENT"))</x:f>
      </x:c>
      <x:c r="D90" t="str">
        <x:f>IF($A90="","",COUNTIFS(MOUVEMENTS!$C$2:$C$201,$A90,MOUVEMENTS!$E$2:$E$201,"40 DV HC",MOUVEMENTS!$H$2:$H$201,"PRESENT"))</x:f>
      </x:c>
      <x:c r="E90" t="str">
        <x:f>IF($A90="","",COUNTIFS(MOUVEMENTS!$C$2:$C$201,$A90,MOUVEMENTS!$E$2:$E$201,"45 DV",MOUVEMENTS!$H$2:$H$201,"PRESENT"))</x:f>
      </x:c>
      <x:c r="F90" t="str">
        <x:f>IF($A90="","",SUMIFS(MOUVEMENTS!$I$2:$I$201,MOUVEMENTS!$C$2:$C$201,$A90,MOUVEMENTS!$H$2:$H$201,"PRESENT"))</x:f>
      </x:c>
    </x:row>
    <x:row r="91">
      <x:c r="B91" t="str">
        <x:f>IF($A91="","",COUNTIFS(MOUVEMENTS!$C$2:$C$201,$A91,MOUVEMENTS!$E$2:$E$201,"20 DV",MOUVEMENTS!$H$2:$H$201,"PRESENT"))</x:f>
      </x:c>
      <x:c r="C91" t="str">
        <x:f>IF($A91="","",COUNTIFS(MOUVEMENTS!$C$2:$C$201,$A91,MOUVEMENTS!$E$2:$E$201,"40 DV ST",MOUVEMENTS!$H$2:$H$201,"PRESENT"))</x:f>
      </x:c>
      <x:c r="D91" t="str">
        <x:f>IF($A91="","",COUNTIFS(MOUVEMENTS!$C$2:$C$201,$A91,MOUVEMENTS!$E$2:$E$201,"40 DV HC",MOUVEMENTS!$H$2:$H$201,"PRESENT"))</x:f>
      </x:c>
      <x:c r="E91" t="str">
        <x:f>IF($A91="","",COUNTIFS(MOUVEMENTS!$C$2:$C$201,$A91,MOUVEMENTS!$E$2:$E$201,"45 DV",MOUVEMENTS!$H$2:$H$201,"PRESENT"))</x:f>
      </x:c>
      <x:c r="F91" t="str">
        <x:f>IF($A91="","",SUMIFS(MOUVEMENTS!$I$2:$I$201,MOUVEMENTS!$C$2:$C$201,$A91,MOUVEMENTS!$H$2:$H$201,"PRESENT"))</x:f>
      </x:c>
    </x:row>
    <x:row r="92">
      <x:c r="B92" t="str">
        <x:f>IF($A92="","",COUNTIFS(MOUVEMENTS!$C$2:$C$201,$A92,MOUVEMENTS!$E$2:$E$201,"20 DV",MOUVEMENTS!$H$2:$H$201,"PRESENT"))</x:f>
      </x:c>
      <x:c r="C92" t="str">
        <x:f>IF($A92="","",COUNTIFS(MOUVEMENTS!$C$2:$C$201,$A92,MOUVEMENTS!$E$2:$E$201,"40 DV ST",MOUVEMENTS!$H$2:$H$201,"PRESENT"))</x:f>
      </x:c>
      <x:c r="D92" t="str">
        <x:f>IF($A92="","",COUNTIFS(MOUVEMENTS!$C$2:$C$201,$A92,MOUVEMENTS!$E$2:$E$201,"40 DV HC",MOUVEMENTS!$H$2:$H$201,"PRESENT"))</x:f>
      </x:c>
      <x:c r="E92" t="str">
        <x:f>IF($A92="","",COUNTIFS(MOUVEMENTS!$C$2:$C$201,$A92,MOUVEMENTS!$E$2:$E$201,"45 DV",MOUVEMENTS!$H$2:$H$201,"PRESENT"))</x:f>
      </x:c>
      <x:c r="F92" t="str">
        <x:f>IF($A92="","",SUMIFS(MOUVEMENTS!$I$2:$I$201,MOUVEMENTS!$C$2:$C$201,$A92,MOUVEMENTS!$H$2:$H$201,"PRESENT"))</x:f>
      </x:c>
    </x:row>
    <x:row r="93">
      <x:c r="B93" t="str">
        <x:f>IF($A93="","",COUNTIFS(MOUVEMENTS!$C$2:$C$201,$A93,MOUVEMENTS!$E$2:$E$201,"20 DV",MOUVEMENTS!$H$2:$H$201,"PRESENT"))</x:f>
      </x:c>
      <x:c r="C93" t="str">
        <x:f>IF($A93="","",COUNTIFS(MOUVEMENTS!$C$2:$C$201,$A93,MOUVEMENTS!$E$2:$E$201,"40 DV ST",MOUVEMENTS!$H$2:$H$201,"PRESENT"))</x:f>
      </x:c>
      <x:c r="D93" t="str">
        <x:f>IF($A93="","",COUNTIFS(MOUVEMENTS!$C$2:$C$201,$A93,MOUVEMENTS!$E$2:$E$201,"40 DV HC",MOUVEMENTS!$H$2:$H$201,"PRESENT"))</x:f>
      </x:c>
      <x:c r="E93" t="str">
        <x:f>IF($A93="","",COUNTIFS(MOUVEMENTS!$C$2:$C$201,$A93,MOUVEMENTS!$E$2:$E$201,"45 DV",MOUVEMENTS!$H$2:$H$201,"PRESENT"))</x:f>
      </x:c>
      <x:c r="F93" t="str">
        <x:f>IF($A93="","",SUMIFS(MOUVEMENTS!$I$2:$I$201,MOUVEMENTS!$C$2:$C$201,$A93,MOUVEMENTS!$H$2:$H$201,"PRESENT"))</x:f>
      </x:c>
    </x:row>
    <x:row r="94">
      <x:c r="B94" t="str">
        <x:f>IF($A94="","",COUNTIFS(MOUVEMENTS!$C$2:$C$201,$A94,MOUVEMENTS!$E$2:$E$201,"20 DV",MOUVEMENTS!$H$2:$H$201,"PRESENT"))</x:f>
      </x:c>
      <x:c r="C94" t="str">
        <x:f>IF($A94="","",COUNTIFS(MOUVEMENTS!$C$2:$C$201,$A94,MOUVEMENTS!$E$2:$E$201,"40 DV ST",MOUVEMENTS!$H$2:$H$201,"PRESENT"))</x:f>
      </x:c>
      <x:c r="D94" t="str">
        <x:f>IF($A94="","",COUNTIFS(MOUVEMENTS!$C$2:$C$201,$A94,MOUVEMENTS!$E$2:$E$201,"40 DV HC",MOUVEMENTS!$H$2:$H$201,"PRESENT"))</x:f>
      </x:c>
      <x:c r="E94" t="str">
        <x:f>IF($A94="","",COUNTIFS(MOUVEMENTS!$C$2:$C$201,$A94,MOUVEMENTS!$E$2:$E$201,"45 DV",MOUVEMENTS!$H$2:$H$201,"PRESENT"))</x:f>
      </x:c>
      <x:c r="F94" t="str">
        <x:f>IF($A94="","",SUMIFS(MOUVEMENTS!$I$2:$I$201,MOUVEMENTS!$C$2:$C$201,$A94,MOUVEMENTS!$H$2:$H$201,"PRESENT"))</x:f>
      </x:c>
    </x:row>
    <x:row r="95">
      <x:c r="B95" t="str">
        <x:f>IF($A95="","",COUNTIFS(MOUVEMENTS!$C$2:$C$201,$A95,MOUVEMENTS!$E$2:$E$201,"20 DV",MOUVEMENTS!$H$2:$H$201,"PRESENT"))</x:f>
      </x:c>
      <x:c r="C95" t="str">
        <x:f>IF($A95="","",COUNTIFS(MOUVEMENTS!$C$2:$C$201,$A95,MOUVEMENTS!$E$2:$E$201,"40 DV ST",MOUVEMENTS!$H$2:$H$201,"PRESENT"))</x:f>
      </x:c>
      <x:c r="D95" t="str">
        <x:f>IF($A95="","",COUNTIFS(MOUVEMENTS!$C$2:$C$201,$A95,MOUVEMENTS!$E$2:$E$201,"40 DV HC",MOUVEMENTS!$H$2:$H$201,"PRESENT"))</x:f>
      </x:c>
      <x:c r="E95" t="str">
        <x:f>IF($A95="","",COUNTIFS(MOUVEMENTS!$C$2:$C$201,$A95,MOUVEMENTS!$E$2:$E$201,"45 DV",MOUVEMENTS!$H$2:$H$201,"PRESENT"))</x:f>
      </x:c>
      <x:c r="F95" t="str">
        <x:f>IF($A95="","",SUMIFS(MOUVEMENTS!$I$2:$I$201,MOUVEMENTS!$C$2:$C$201,$A95,MOUVEMENTS!$H$2:$H$201,"PRESENT"))</x:f>
      </x:c>
    </x:row>
    <x:row r="96">
      <x:c r="B96" t="str">
        <x:f>IF($A96="","",COUNTIFS(MOUVEMENTS!$C$2:$C$201,$A96,MOUVEMENTS!$E$2:$E$201,"20 DV",MOUVEMENTS!$H$2:$H$201,"PRESENT"))</x:f>
      </x:c>
      <x:c r="C96" t="str">
        <x:f>IF($A96="","",COUNTIFS(MOUVEMENTS!$C$2:$C$201,$A96,MOUVEMENTS!$E$2:$E$201,"40 DV ST",MOUVEMENTS!$H$2:$H$201,"PRESENT"))</x:f>
      </x:c>
      <x:c r="D96" t="str">
        <x:f>IF($A96="","",COUNTIFS(MOUVEMENTS!$C$2:$C$201,$A96,MOUVEMENTS!$E$2:$E$201,"40 DV HC",MOUVEMENTS!$H$2:$H$201,"PRESENT"))</x:f>
      </x:c>
      <x:c r="E96" t="str">
        <x:f>IF($A96="","",COUNTIFS(MOUVEMENTS!$C$2:$C$201,$A96,MOUVEMENTS!$E$2:$E$201,"45 DV",MOUVEMENTS!$H$2:$H$201,"PRESENT"))</x:f>
      </x:c>
      <x:c r="F96" t="str">
        <x:f>IF($A96="","",SUMIFS(MOUVEMENTS!$I$2:$I$201,MOUVEMENTS!$C$2:$C$201,$A96,MOUVEMENTS!$H$2:$H$201,"PRESENT"))</x:f>
      </x:c>
    </x:row>
    <x:row r="97">
      <x:c r="B97" t="str">
        <x:f>IF($A97="","",COUNTIFS(MOUVEMENTS!$C$2:$C$201,$A97,MOUVEMENTS!$E$2:$E$201,"20 DV",MOUVEMENTS!$H$2:$H$201,"PRESENT"))</x:f>
      </x:c>
      <x:c r="C97" t="str">
        <x:f>IF($A97="","",COUNTIFS(MOUVEMENTS!$C$2:$C$201,$A97,MOUVEMENTS!$E$2:$E$201,"40 DV ST",MOUVEMENTS!$H$2:$H$201,"PRESENT"))</x:f>
      </x:c>
      <x:c r="D97" t="str">
        <x:f>IF($A97="","",COUNTIFS(MOUVEMENTS!$C$2:$C$201,$A97,MOUVEMENTS!$E$2:$E$201,"40 DV HC",MOUVEMENTS!$H$2:$H$201,"PRESENT"))</x:f>
      </x:c>
      <x:c r="E97" t="str">
        <x:f>IF($A97="","",COUNTIFS(MOUVEMENTS!$C$2:$C$201,$A97,MOUVEMENTS!$E$2:$E$201,"45 DV",MOUVEMENTS!$H$2:$H$201,"PRESENT"))</x:f>
      </x:c>
      <x:c r="F97" t="str">
        <x:f>IF($A97="","",SUMIFS(MOUVEMENTS!$I$2:$I$201,MOUVEMENTS!$C$2:$C$201,$A97,MOUVEMENTS!$H$2:$H$201,"PRESENT"))</x:f>
      </x:c>
    </x:row>
    <x:row r="98">
      <x:c r="B98" t="str">
        <x:f>IF($A98="","",COUNTIFS(MOUVEMENTS!$C$2:$C$201,$A98,MOUVEMENTS!$E$2:$E$201,"20 DV",MOUVEMENTS!$H$2:$H$201,"PRESENT"))</x:f>
      </x:c>
      <x:c r="C98" t="str">
        <x:f>IF($A98="","",COUNTIFS(MOUVEMENTS!$C$2:$C$201,$A98,MOUVEMENTS!$E$2:$E$201,"40 DV ST",MOUVEMENTS!$H$2:$H$201,"PRESENT"))</x:f>
      </x:c>
      <x:c r="D98" t="str">
        <x:f>IF($A98="","",COUNTIFS(MOUVEMENTS!$C$2:$C$201,$A98,MOUVEMENTS!$E$2:$E$201,"40 DV HC",MOUVEMENTS!$H$2:$H$201,"PRESENT"))</x:f>
      </x:c>
      <x:c r="E98" t="str">
        <x:f>IF($A98="","",COUNTIFS(MOUVEMENTS!$C$2:$C$201,$A98,MOUVEMENTS!$E$2:$E$201,"45 DV",MOUVEMENTS!$H$2:$H$201,"PRESENT"))</x:f>
      </x:c>
      <x:c r="F98" t="str">
        <x:f>IF($A98="","",SUMIFS(MOUVEMENTS!$I$2:$I$201,MOUVEMENTS!$C$2:$C$201,$A98,MOUVEMENTS!$H$2:$H$201,"PRESENT"))</x:f>
      </x:c>
    </x:row>
    <x:row r="99">
      <x:c r="B99" t="str">
        <x:f>IF($A99="","",COUNTIFS(MOUVEMENTS!$C$2:$C$201,$A99,MOUVEMENTS!$E$2:$E$201,"20 DV",MOUVEMENTS!$H$2:$H$201,"PRESENT"))</x:f>
      </x:c>
      <x:c r="C99" t="str">
        <x:f>IF($A99="","",COUNTIFS(MOUVEMENTS!$C$2:$C$201,$A99,MOUVEMENTS!$E$2:$E$201,"40 DV ST",MOUVEMENTS!$H$2:$H$201,"PRESENT"))</x:f>
      </x:c>
      <x:c r="D99" t="str">
        <x:f>IF($A99="","",COUNTIFS(MOUVEMENTS!$C$2:$C$201,$A99,MOUVEMENTS!$E$2:$E$201,"40 DV HC",MOUVEMENTS!$H$2:$H$201,"PRESENT"))</x:f>
      </x:c>
      <x:c r="E99" t="str">
        <x:f>IF($A99="","",COUNTIFS(MOUVEMENTS!$C$2:$C$201,$A99,MOUVEMENTS!$E$2:$E$201,"45 DV",MOUVEMENTS!$H$2:$H$201,"PRESENT"))</x:f>
      </x:c>
      <x:c r="F99" t="str">
        <x:f>IF($A99="","",SUMIFS(MOUVEMENTS!$I$2:$I$201,MOUVEMENTS!$C$2:$C$201,$A99,MOUVEMENTS!$H$2:$H$201,"PRESENT"))</x:f>
      </x:c>
    </x:row>
    <x:row r="100">
      <x:c r="B100" t="str">
        <x:f>IF($A100="","",COUNTIFS(MOUVEMENTS!$C$2:$C$201,$A100,MOUVEMENTS!$E$2:$E$201,"20 DV",MOUVEMENTS!$H$2:$H$201,"PRESENT"))</x:f>
      </x:c>
      <x:c r="C100" t="str">
        <x:f>IF($A100="","",COUNTIFS(MOUVEMENTS!$C$2:$C$201,$A100,MOUVEMENTS!$E$2:$E$201,"40 DV ST",MOUVEMENTS!$H$2:$H$201,"PRESENT"))</x:f>
      </x:c>
      <x:c r="D100" t="str">
        <x:f>IF($A100="","",COUNTIFS(MOUVEMENTS!$C$2:$C$201,$A100,MOUVEMENTS!$E$2:$E$201,"40 DV HC",MOUVEMENTS!$H$2:$H$201,"PRESENT"))</x:f>
      </x:c>
      <x:c r="E100" t="str">
        <x:f>IF($A100="","",COUNTIFS(MOUVEMENTS!$C$2:$C$201,$A100,MOUVEMENTS!$E$2:$E$201,"45 DV",MOUVEMENTS!$H$2:$H$201,"PRESENT"))</x:f>
      </x:c>
      <x:c r="F100" t="str">
        <x:f>IF($A100="","",SUMIFS(MOUVEMENTS!$I$2:$I$201,MOUVEMENTS!$C$2:$C$201,$A100,MOUVEMENTS!$H$2:$H$201,"PRESENT"))</x:f>
      </x:c>
    </x:row>
    <x:row r="101">
      <x:c r="B101" t="str">
        <x:f>IF($A101="","",COUNTIFS(MOUVEMENTS!$C$2:$C$201,$A101,MOUVEMENTS!$E$2:$E$201,"20 DV",MOUVEMENTS!$H$2:$H$201,"PRESENT"))</x:f>
      </x:c>
      <x:c r="C101" t="str">
        <x:f>IF($A101="","",COUNTIFS(MOUVEMENTS!$C$2:$C$201,$A101,MOUVEMENTS!$E$2:$E$201,"40 DV ST",MOUVEMENTS!$H$2:$H$201,"PRESENT"))</x:f>
      </x:c>
      <x:c r="D101" t="str">
        <x:f>IF($A101="","",COUNTIFS(MOUVEMENTS!$C$2:$C$201,$A101,MOUVEMENTS!$E$2:$E$201,"40 DV HC",MOUVEMENTS!$H$2:$H$201,"PRESENT"))</x:f>
      </x:c>
      <x:c r="E101" t="str">
        <x:f>IF($A101="","",COUNTIFS(MOUVEMENTS!$C$2:$C$201,$A101,MOUVEMENTS!$E$2:$E$201,"45 DV",MOUVEMENTS!$H$2:$H$201,"PRESENT"))</x:f>
      </x:c>
      <x:c r="F101" t="str">
        <x:f>IF($A101="","",SUMIFS(MOUVEMENTS!$I$2:$I$201,MOUVEMENTS!$C$2:$C$201,$A101,MOUVEMENTS!$H$2:$H$201,"PRESENT"))</x:f>
      </x:c>
    </x:row>
    <x:row r="104" ht="26" customHeight="1">
      <x:c r="A104" s="7" t="str">
        <x:v>TOTAL GENERAL</x:v>
      </x:c>
      <x:c r="B104" s="7" t="n">
        <x:f>SUM(B2:B101)</x:f>
        <x:v>0</x:v>
      </x:c>
      <x:c r="C104" s="7" t="n">
        <x:f>SUM(C2:C101)</x:f>
        <x:v>0</x:v>
      </x:c>
      <x:c r="D104" s="7" t="n">
        <x:f>SUM(D2:D101)</x:f>
        <x:v>0</x:v>
      </x:c>
      <x:c r="E104" s="7" t="n">
        <x:f>SUM(E2:E101)</x:f>
        <x:v>0</x:v>
      </x:c>
      <x:c r="F104" s="7" t="n">
        <x:f>SUM(F2:F101)</x:f>
        <x:v>0</x:v>
      </x:c>
    </x:row>
  </x:sheetData>
  <x:pageMargins left="0.7" right="0.7" top="0.75" bottom="0.75" header="0.3" footer="0.3"/>
</x:worksheet>
</file>